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https://ideabrix-my.sharepoint.com/personal/pushkar_m_ideabrix_in/Documents/"/>
    </mc:Choice>
  </mc:AlternateContent>
  <xr:revisionPtr revIDLastSave="1736" documentId="8_{D1D33C89-F807-4D95-AD8A-60AE3AEBEB91}" xr6:coauthVersionLast="47" xr6:coauthVersionMax="47" xr10:uidLastSave="{39C5DFDC-3370-48AB-A0B9-B9FADF59E35D}"/>
  <bookViews>
    <workbookView xWindow="-108" yWindow="-108" windowWidth="23256" windowHeight="12456" activeTab="3" xr2:uid="{194AF3D3-D458-4990-A9C6-6996860FB287}"/>
  </bookViews>
  <sheets>
    <sheet name="Musaffah Port" sheetId="1" r:id="rId1"/>
    <sheet name="Jutal Offshore" sheetId="2" r:id="rId2"/>
    <sheet name="Das Island" sheetId="3" r:id="rId3"/>
    <sheet name="Jutal-Das" sheetId="4" r:id="rId4"/>
    <sheet name="Musaffah-Das" sheetId="5" r:id="rId5"/>
    <sheet name="Metadata"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<sst xmlns="http://schemas.openxmlformats.org/spreadsheetml/2006/main" count="512" uniqueCount="237">
  <si>
    <t xml:space="preserve">   MUSAFFAH PORT</t>
  </si>
  <si>
    <t>SITE</t>
  </si>
  <si>
    <t>DATA PERIOD</t>
  </si>
  <si>
    <t>DATE</t>
  </si>
  <si>
    <t>24.38°N,54.47°E</t>
  </si>
  <si>
    <t>1985-2000</t>
  </si>
  <si>
    <t>(15 years)</t>
  </si>
  <si>
    <t>Extreme Value Analysis</t>
  </si>
  <si>
    <t>Paramteres</t>
  </si>
  <si>
    <t>Units</t>
  </si>
  <si>
    <t>1</t>
  </si>
  <si>
    <t>10</t>
  </si>
  <si>
    <t>50</t>
  </si>
  <si>
    <t>100</t>
  </si>
  <si>
    <t>Column1</t>
  </si>
  <si>
    <t>Method</t>
  </si>
  <si>
    <t>Wind Speed</t>
  </si>
  <si>
    <t>(m/s)</t>
  </si>
  <si>
    <t>GPD</t>
  </si>
  <si>
    <t>Wind Gust</t>
  </si>
  <si>
    <t>Wave Height</t>
  </si>
  <si>
    <t>(m)</t>
  </si>
  <si>
    <t>GEV</t>
  </si>
  <si>
    <t>Wave Period</t>
  </si>
  <si>
    <t>(s)</t>
  </si>
  <si>
    <t>Swell Height</t>
  </si>
  <si>
    <t>Swell Period</t>
  </si>
  <si>
    <t>Ocean Current</t>
  </si>
  <si>
    <t>Storm Surge</t>
  </si>
  <si>
    <t>TWL</t>
  </si>
  <si>
    <t>*TWL = Total water level</t>
  </si>
  <si>
    <t>DSWL</t>
  </si>
  <si>
    <t>*DSWL = Design still water level</t>
  </si>
  <si>
    <t>Monthly Report</t>
  </si>
  <si>
    <t>Parameters</t>
  </si>
  <si>
    <t>Stats</t>
  </si>
  <si>
    <t>January</t>
  </si>
  <si>
    <t>February</t>
  </si>
  <si>
    <t>March</t>
  </si>
  <si>
    <t>April</t>
  </si>
  <si>
    <t>May</t>
  </si>
  <si>
    <t>June</t>
  </si>
  <si>
    <t>July</t>
  </si>
  <si>
    <t>August</t>
  </si>
  <si>
    <t>September</t>
  </si>
  <si>
    <t>October</t>
  </si>
  <si>
    <t>November</t>
  </si>
  <si>
    <t>December</t>
  </si>
  <si>
    <t>P90</t>
  </si>
  <si>
    <t>WIND(m/s)</t>
  </si>
  <si>
    <t>P95</t>
  </si>
  <si>
    <t>MAX</t>
  </si>
  <si>
    <t>WAVE_H(m)</t>
  </si>
  <si>
    <t>OCEAN_CURR(m/s)</t>
  </si>
  <si>
    <t>WAVE_T(s)</t>
  </si>
  <si>
    <t>SWELL_H(m)</t>
  </si>
  <si>
    <t>STORM_SURGE(m)</t>
  </si>
  <si>
    <t>TOTAL_WATER_LEVEL(m)</t>
  </si>
  <si>
    <t>SWELL_T(s)</t>
  </si>
  <si>
    <t>OCEAN_CURR</t>
  </si>
  <si>
    <t>STORM_SURGE</t>
  </si>
  <si>
    <t>TOTAL_WATER_LEVEL</t>
  </si>
  <si>
    <t>*P90 = 90% of the values are less than the P90 value</t>
  </si>
  <si>
    <t>*P95 = 95% of the values are less then the P95 value</t>
  </si>
  <si>
    <t>Seasonal Report</t>
  </si>
  <si>
    <t>Monsoon JUNE-SEPT</t>
  </si>
  <si>
    <t>Post-monsoon OCT-DEC</t>
  </si>
  <si>
    <t>Pre-monsoon MAR-MAY</t>
  </si>
  <si>
    <t>Winter DEC-FEB</t>
  </si>
  <si>
    <t>Monsoon</t>
  </si>
  <si>
    <t>Post-monsoon</t>
  </si>
  <si>
    <t>pre-monsoon</t>
  </si>
  <si>
    <t>Winter</t>
  </si>
  <si>
    <t>*P95 = 95% of the values are less than the P95 value</t>
  </si>
  <si>
    <t>OPERATIONAL WINDOWS</t>
  </si>
  <si>
    <t>*wind_speed &lt;= 7m/s and wave_height &lt;= 0.5m</t>
  </si>
  <si>
    <t>Month</t>
  </si>
  <si>
    <t>Operability</t>
  </si>
  <si>
    <t>The best Operational months for Load_in/Load_out operations are JULY-AUGUST-SEPTEMBER-OCTOBER with having 90%+ operability</t>
  </si>
  <si>
    <t>OVERALL EXCEEDANCE PROBABILITY</t>
  </si>
  <si>
    <t>Parameter</t>
  </si>
  <si>
    <t>Jan</t>
  </si>
  <si>
    <t>Feb</t>
  </si>
  <si>
    <t>Mar</t>
  </si>
  <si>
    <t>Apr</t>
  </si>
  <si>
    <t>Jun</t>
  </si>
  <si>
    <t>Jul</t>
  </si>
  <si>
    <t>Aug</t>
  </si>
  <si>
    <t>Sep</t>
  </si>
  <si>
    <t>Oct</t>
  </si>
  <si>
    <t>Nov</t>
  </si>
  <si>
    <t>Dec</t>
  </si>
  <si>
    <t>Wind(m/s) &gt; 7m/s</t>
  </si>
  <si>
    <t>Ocean_Curr(m/s) &gt; 0.15m/s</t>
  </si>
  <si>
    <t>Wave_Tp(s) &gt; 7s</t>
  </si>
  <si>
    <t>Swell_Hs(m)</t>
  </si>
  <si>
    <t>Swell_Tp(s) &gt; 7s</t>
  </si>
  <si>
    <t>Storm_Surge(m) &gt; 0.3m</t>
  </si>
  <si>
    <t>Total Water Level(m) &gt; 1.12m</t>
  </si>
  <si>
    <r>
      <rPr>
        <b/>
        <sz val="26"/>
        <color theme="1"/>
        <rFont val="Calibri"/>
        <family val="2"/>
        <scheme val="minor"/>
      </rPr>
      <t>METOCEAN ROUTE STUDY REPORT</t>
    </r>
    <r>
      <rPr>
        <sz val="11"/>
        <color theme="1"/>
        <rFont val="Calibri"/>
        <family val="2"/>
        <scheme val="minor"/>
      </rPr>
      <t xml:space="preserve"> </t>
    </r>
  </si>
  <si>
    <t>JUTAL OFFSHORE - DAS ISLAND</t>
  </si>
  <si>
    <t>ROUTE LENGTH</t>
  </si>
  <si>
    <t>WAYPOINTS</t>
  </si>
  <si>
    <t>700nm</t>
  </si>
  <si>
    <t>15 years</t>
  </si>
  <si>
    <t>ROUTE ANALYSIS</t>
  </si>
  <si>
    <t>Score</t>
  </si>
  <si>
    <t>Way Points</t>
  </si>
  <si>
    <t>DIST(nm)</t>
  </si>
  <si>
    <t>Wind</t>
  </si>
  <si>
    <t>Wave_H</t>
  </si>
  <si>
    <t>Currents</t>
  </si>
  <si>
    <t>Risk</t>
  </si>
  <si>
    <t>WP1</t>
  </si>
  <si>
    <t>6.04m/s</t>
  </si>
  <si>
    <t>0.6m</t>
  </si>
  <si>
    <t>0.3m/s</t>
  </si>
  <si>
    <t>Low</t>
  </si>
  <si>
    <t>WP2</t>
  </si>
  <si>
    <t>WP3</t>
  </si>
  <si>
    <t>WP4</t>
  </si>
  <si>
    <t>WP5</t>
  </si>
  <si>
    <t>WP6</t>
  </si>
  <si>
    <t>WP7</t>
  </si>
  <si>
    <t>WP8</t>
  </si>
  <si>
    <t>Weather Operability Window</t>
  </si>
  <si>
    <t>Waypoints</t>
  </si>
  <si>
    <t>JAN</t>
  </si>
  <si>
    <t>FEB</t>
  </si>
  <si>
    <t>MAR</t>
  </si>
  <si>
    <t>APR</t>
  </si>
  <si>
    <t>MAY</t>
  </si>
  <si>
    <t>JUN</t>
  </si>
  <si>
    <t>JUL</t>
  </si>
  <si>
    <t>AUG</t>
  </si>
  <si>
    <t>SEP</t>
  </si>
  <si>
    <t>OCT</t>
  </si>
  <si>
    <t>NOV</t>
  </si>
  <si>
    <t>DEC</t>
  </si>
  <si>
    <t>*Months in GREEN are the safest  month for Transport</t>
  </si>
  <si>
    <t>Metod</t>
  </si>
  <si>
    <t>MONTHLY EXCEEDANCE REPORT</t>
  </si>
  <si>
    <t>Report for WP2</t>
  </si>
  <si>
    <r>
      <rPr>
        <b/>
        <sz val="18"/>
        <color theme="1"/>
        <rFont val="Calibri"/>
        <family val="2"/>
        <scheme val="minor"/>
      </rPr>
      <t>DATA SOURCING</t>
    </r>
    <r>
      <rPr>
        <b/>
        <sz val="11"/>
        <color theme="1"/>
        <rFont val="Calibri"/>
        <family val="2"/>
        <scheme val="minor"/>
      </rPr>
      <t xml:space="preserve"> </t>
    </r>
  </si>
  <si>
    <t>Parameter Category</t>
  </si>
  <si>
    <t>Source</t>
  </si>
  <si>
    <t>Source Description</t>
  </si>
  <si>
    <t>Data Type</t>
  </si>
  <si>
    <t>Data Type Description</t>
  </si>
  <si>
    <t>Resolution</t>
  </si>
  <si>
    <t>Processing Applied</t>
  </si>
  <si>
    <t>ERA5 (ECMWF)</t>
  </si>
  <si>
    <t>Global reanalysis dataset combining observations and numerical weather prediction models</t>
  </si>
  <si>
    <t>Reanalysis</t>
  </si>
  <si>
    <t>Hybrid dataset generated using data assimilation of satellite, buoy, and station data</t>
  </si>
  <si>
    <t>~0.25°, 3-hourly</t>
  </si>
  <si>
    <t>Wind speed derived from U10 and V10 components, data cleaned and spatially averaged</t>
  </si>
  <si>
    <t>Wave</t>
  </si>
  <si>
    <t>ERA5 Wave Model</t>
  </si>
  <si>
    <t>Model-derived wave dataset representing combined wind-sea and swell conditions</t>
  </si>
  <si>
    <t>Spectral wave model validated using satellite altimetry and in-situ observations</t>
  </si>
  <si>
    <t>Significant wave parameters extracted, cleaned, and used for statistical and EVA analysis</t>
  </si>
  <si>
    <t>Swell</t>
  </si>
  <si>
    <t>Partitioned wave component representing long-period waves from distant sources</t>
  </si>
  <si>
    <t>Derived from spectral wave partitioning separating swell from wind-sea</t>
  </si>
  <si>
    <t>Swell parameters extracted and used for dedicated statistical and extreme value analysis</t>
  </si>
  <si>
    <t>Sea Level / Storm Surge</t>
  </si>
  <si>
    <t>CMEMS (Copernicus Marine Service) – Global Ocean Physics Reanalysis</t>
  </si>
  <si>
    <t>Global ocean reanalysis dataset combining satellite observations, in-situ measurements, and numerical ocean circulation models</t>
  </si>
  <si>
    <t>Reanalysis / Hindcast</t>
  </si>
  <si>
    <t>Hybrid oceanographic dataset generated using numerical modeling with data assimilation of satellite altimetry, tide gauges, ARGO floats, and in-situ observations</t>
  </si>
  <si>
    <t>~1/12° (~8 km), Daily / Monthly output, 50 vertical levels</t>
  </si>
  <si>
    <t>Daily sea level (SSH) extracted and matched with daily tidal levels derived from FES2022. Storm surge calculated as Daily Sea Level − Daily Tide. Since daily averaging smooths short-duration storm peaks, Peak Adjustment Factor (PAF) was derived using hourly tide data and applied to correct underestimation of surge. Final corrected surge values used for EVA, DSWL estimation, and crest level design support</t>
  </si>
  <si>
    <t>GLOBAL_MULTIYEAR_PHY_001_030 (CMEMS)</t>
  </si>
  <si>
    <t>Global ocean physics reanalysis dataset produced by Mercator Ocean, combining numerical ocean models with satellite and in-situ observations</t>
  </si>
  <si>
    <t>Numerical ocean reanalysis assimilating sea surface height and observations to estimate ocean current velocity fields.</t>
  </si>
  <si>
    <t>~0.083(~9 km), daily</t>
  </si>
  <si>
    <t>Eastward (u) and northward (v) current components extracted, combined to compute current speed and direction, data cleaned and used for statistical, exceedance, and extreme value analysis</t>
  </si>
  <si>
    <t>Water level</t>
  </si>
  <si>
    <t>Global Ocean Physics Reanalysis; Global Ocean Waves Reanalysis(CMEMS)</t>
  </si>
  <si>
    <t>Physics reanalysis for sea level (tide + surge) and wave reanalysis for wave parameters</t>
  </si>
  <si>
    <t xml:space="preserve">Reanalysis </t>
  </si>
  <si>
    <t>computed as sum of tide, surge, and wave run-up</t>
  </si>
  <si>
    <t>~0.2, 3 hourly</t>
  </si>
  <si>
    <t>Tide and surge combined; wave run-up computed from wave parameters; all components aligned and summed to obtain 3-hourly TWL</t>
  </si>
  <si>
    <t>STATISTIC INFORMATION</t>
  </si>
  <si>
    <t>Method / Model</t>
  </si>
  <si>
    <t>Description</t>
  </si>
  <si>
    <t>Working Principle</t>
  </si>
  <si>
    <t>Applied To</t>
  </si>
  <si>
    <t>Purpose</t>
  </si>
  <si>
    <t>Descriptive Statistics</t>
  </si>
  <si>
    <t>Basic statistical measures (mean, P90, P95, max)</t>
  </si>
  <si>
    <t>Data grouped by time (monthly/seasonal) and statistical metrics computed</t>
  </si>
  <si>
    <t>Wind, Wave, Swell,storm surge,ocean currents</t>
  </si>
  <si>
    <t>Identify variability and operational trends</t>
  </si>
  <si>
    <t>Monthly Analysis</t>
  </si>
  <si>
    <t>Time-based aggregation</t>
  </si>
  <si>
    <t>Data grouped by month and summarized</t>
  </si>
  <si>
    <t>Understand seasonal patterns</t>
  </si>
  <si>
    <t>Seasonal Analysis</t>
  </si>
  <si>
    <t>Aggregation by defined seasons</t>
  </si>
  <si>
    <t>Data grouped into seasonal blocks (monsoon, winter, etc.)</t>
  </si>
  <si>
    <t>Identify seasonal variability</t>
  </si>
  <si>
    <t>GEV (Generalized Extreme Value)</t>
  </si>
  <si>
    <t>Extreme value model using block maxima</t>
  </si>
  <si>
    <t>Annual maximum values are extracted and fitted to a probability distribution</t>
  </si>
  <si>
    <t>Wind, Gust, Wave Hs, Tp, Swell</t>
  </si>
  <si>
    <t>Estimate return period values (10, 50, 100 years)</t>
  </si>
  <si>
    <t>GPD (Generalized Pareto Distribution)</t>
  </si>
  <si>
    <t>Peaks Over Threshold method</t>
  </si>
  <si>
    <t>Values above a high threshold (97th percentile) are modeled to estimate extremes</t>
  </si>
  <si>
    <t>Wind, Gust, Wave, Swell</t>
  </si>
  <si>
    <t>Improve estimation of extreme events using more data</t>
  </si>
  <si>
    <t>Return Period Estimation</t>
  </si>
  <si>
    <t>Probability-based extreme prediction</t>
  </si>
  <si>
    <t>Uses (P = 1 - {1/T}) to compute return levels</t>
  </si>
  <si>
    <t>All extreme parameters</t>
  </si>
  <si>
    <t>Predict rare events beyond observed data</t>
  </si>
  <si>
    <t>Bootstrap Confidence Interval</t>
  </si>
  <si>
    <t>Uncertainty estimation method</t>
  </si>
  <si>
    <t>Re-sampling data multiple times to compute variability in results</t>
  </si>
  <si>
    <t>GPD outputs</t>
  </si>
  <si>
    <t>Provide confidence bounds for extreme values</t>
  </si>
  <si>
    <t>Probability of Exceedance (PoE)</t>
  </si>
  <si>
    <t>Frequency analysis</t>
  </si>
  <si>
    <t>Ratio of exceedances above threshold to total observations</t>
  </si>
  <si>
    <t>Quantify operational risk</t>
  </si>
  <si>
    <t>Operability Analysis</t>
  </si>
  <si>
    <t>Safe vs unsafe condition evaluation</t>
  </si>
  <si>
    <t>Conditions checked against thresholds for each time step</t>
  </si>
  <si>
    <t>Wind, Wave (primary)</t>
  </si>
  <si>
    <t>Determine workable operational windows</t>
  </si>
  <si>
    <t>Threshold Selection (GPD)</t>
  </si>
  <si>
    <t>Extreme filtering technique</t>
  </si>
  <si>
    <t>High percentile (97%) used to isolate extreme values</t>
  </si>
  <si>
    <t>Ensure stable and realistic extreme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</si>
</sst>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4">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sz val="11"/>
      <color rgb="FF000000"/>
      <name val="Calibri"/>
      <family val="2"/>
      <scheme val="minor"/>
    </font>
    <font>
      <sz val="8"/>
      <name val="Calibri"/>
      <family val="2"/>
      <scheme val="minor"/>
    </font>
    <font>
      <b/>
      <sz val="26"/>
      <color theme="1"/>
      <name val="Calibri"/>
      <family val="2"/>
      <scheme val="minor"/>
    </font>
    <font>
      <b/>
      <sz val="22"/>
      <color theme="1"/>
      <name val="Calibri"/>
      <family val="2"/>
      <scheme val="minor"/>
    </font>
    <font>
      <b/>
      <sz val="11"/>
      <color rgb="FF006D77"/>
      <name val="Calibri"/>
      <family val="2"/>
      <scheme val="minor"/>
    </font>
    <font>
      <b/>
      <sz val="11"/>
      <color rgb="FFFFFFFF"/>
      <name val="Calibri"/>
      <family val="2"/>
      <scheme val="minor"/>
    </font>
    <font>
      <i/>
      <sz val="11"/>
      <color theme="1"/>
      <name val="Calibri"/>
      <family val="2"/>
      <scheme val="minor"/>
    </font>
    <font>
      <i/>
      <sz val="9"/>
      <color rgb="FF666666"/>
      <name val="Calibri"/>
      <family val="2"/>
      <scheme val="minor"/>
    </font>
    <font>
      <sz val="11"/>
      <color rgb="FFFFFFFF"/>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i/>
      <sz val="11"/>
      <color rgb="FF666666"/>
      <name val="Calibri"/>
      <family val="2"/>
      <scheme val="minor"/>
    </font>
    <font>
      <i/>
      <sz val="10"/>
      <color rgb="FF0A9396"/>
      <name val="Calibri"/>
      <family val="2"/>
      <scheme val="minor"/>
    </font>
    <font>
      <i/>
      <sz val="11"/>
      <color rgb="FF0A9396"/>
      <name val="Calibri"/>
      <family val="2"/>
      <scheme val="minor"/>
    </font>
    <font>
      <b/>
      <i/>
      <sz val="10"/>
      <color rgb="FF006D77"/>
      <name val="Calibri"/>
      <family val="2"/>
      <scheme val="minor"/>
    </font>
    <font>
      <b/>
      <i/>
      <sz val="11"/>
      <color rgb="FF006D77"/>
      <name val="Calibri"/>
      <family val="2"/>
      <scheme val="minor"/>
    </font>
    <font>
      <b/>
      <sz val="16"/>
      <color rgb="FFFFFFFF"/>
      <name val="Calibri"/>
      <family val="2"/>
      <scheme val="minor"/>
    </font>
    <font>
      <i/>
      <sz val="10"/>
      <color rgb="FFFFFFFF"/>
      <name val="Calibri"/>
      <family val="2"/>
      <scheme val="minor"/>
    </font>
    <font>
      <b/>
      <sz val="11"/>
      <color rgb="FF006D77"/>
      <name val="Calibri"/>
      <charset val="1"/>
    </font>
    <font>
      <sz val="11"/>
      <color rgb="FF000000"/>
      <name val="Calibri"/>
      <family val="2"/>
    </font>
    <font>
      <b/>
      <sz val="11"/>
      <color rgb="FF000000"/>
      <name val="Calibri"/>
      <family val="2"/>
      <scheme val="minor"/>
    </font>
    <font>
      <b/>
      <sz val="18"/>
      <color rgb="FF000000"/>
      <name val="Calibri"/>
      <scheme val="minor"/>
    </font>
    <font>
      <b/>
      <sz val="11"/>
      <color rgb="FF000000"/>
      <name val="Calibri"/>
      <scheme val="minor"/>
    </font>
    <font>
      <sz val="11"/>
      <color rgb="FF000000"/>
      <name val="Calibri"/>
      <charset val="1"/>
    </font>
    <font>
      <i/>
      <sz val="11"/>
      <color rgb="FF000000"/>
      <name val="Calibri"/>
      <family val="2"/>
    </font>
    <font>
      <b/>
      <sz val="11"/>
      <color rgb="FFFFFFFF"/>
      <name val="Calibri"/>
      <family val="2"/>
    </font>
    <font>
      <b/>
      <sz val="11"/>
      <color rgb="FF000000"/>
      <name val="Calibri"/>
      <family val="2"/>
    </font>
    <font>
      <b/>
      <sz val="11"/>
      <color rgb="FF006D77"/>
      <name val="Calibri"/>
      <family val="2"/>
    </font>
    <font>
      <b/>
      <sz val="11"/>
      <color rgb="FF006D77"/>
      <name val="Calibri"/>
      <family val="2"/>
      <charset val="1"/>
    </font>
  </fonts>
  <fills count="66">
    <fill>
      <patternFill patternType="none"/>
    </fill>
    <fill>
      <patternFill patternType="gray125"/>
    </fill>
    <fill>
      <patternFill patternType="solid">
        <fgColor theme="4"/>
        <bgColor indexed="64"/>
      </patternFill>
    </fill>
    <fill>
      <patternFill patternType="solid">
        <fgColor theme="9" tint="0.79998168889431442"/>
        <bgColor indexed="64"/>
      </patternFill>
    </fill>
    <fill>
      <patternFill patternType="solid">
        <fgColor rgb="FF006D77"/>
        <bgColor indexed="64"/>
      </patternFill>
    </fill>
    <fill>
      <patternFill patternType="solid">
        <fgColor rgb="FFE9F5F5"/>
        <bgColor indexed="64"/>
      </patternFill>
    </fill>
    <fill>
      <patternFill patternType="solid">
        <fgColor rgb="FFFFFFFF"/>
        <bgColor indexed="64"/>
      </patternFill>
    </fill>
    <fill>
      <patternFill patternType="solid">
        <fgColor rgb="FF0A9396"/>
        <bgColor indexed="64"/>
      </patternFill>
    </fill>
    <fill>
      <patternFill patternType="solid">
        <fgColor rgb="FFE9F5F5"/>
        <bgColor rgb="FF000000"/>
      </patternFill>
    </fill>
    <fill>
      <patternFill patternType="solid">
        <fgColor rgb="FFFFFFFF"/>
        <bgColor rgb="FF000000"/>
      </patternFill>
    </fill>
    <fill>
      <patternFill patternType="solid">
        <fgColor rgb="FF006D77"/>
        <bgColor rgb="FF000000"/>
      </patternFill>
    </fill>
    <fill>
      <patternFill patternType="solid">
        <fgColor rgb="FFFFEA9E"/>
        <bgColor rgb="FF000000"/>
      </patternFill>
    </fill>
    <fill>
      <patternFill patternType="solid">
        <fgColor rgb="FFFFD2BF"/>
        <bgColor rgb="FF000000"/>
      </patternFill>
    </fill>
    <fill>
      <patternFill patternType="solid">
        <fgColor rgb="FFFFC7CE"/>
        <bgColor rgb="FF000000"/>
      </patternFill>
    </fill>
    <fill>
      <patternFill patternType="solid">
        <fgColor rgb="FFFFDEAE"/>
        <bgColor rgb="FF000000"/>
      </patternFill>
    </fill>
    <fill>
      <patternFill patternType="solid">
        <fgColor rgb="FFFBEC9F"/>
        <bgColor rgb="FF000000"/>
      </patternFill>
    </fill>
    <fill>
      <patternFill patternType="solid">
        <fgColor rgb="FFDDEEBA"/>
        <bgColor rgb="FF000000"/>
      </patternFill>
    </fill>
    <fill>
      <patternFill patternType="solid">
        <fgColor rgb="FFD2EFC3"/>
        <bgColor rgb="FF000000"/>
      </patternFill>
    </fill>
    <fill>
      <patternFill patternType="solid">
        <fgColor rgb="FFC6EFCE"/>
        <bgColor rgb="FF000000"/>
      </patternFill>
    </fill>
    <fill>
      <patternFill patternType="solid">
        <fgColor rgb="FFD6EEC0"/>
        <bgColor rgb="FF000000"/>
      </patternFill>
    </fill>
    <fill>
      <patternFill patternType="solid">
        <fgColor rgb="FFE0EEB7"/>
        <bgColor rgb="FF000000"/>
      </patternFill>
    </fill>
    <fill>
      <patternFill patternType="solid">
        <fgColor rgb="FFF1ECA8"/>
        <bgColor rgb="FF000000"/>
      </patternFill>
    </fill>
    <fill>
      <patternFill patternType="solid">
        <fgColor rgb="FFF9ECA1"/>
        <bgColor rgb="FF000000"/>
      </patternFill>
    </fill>
    <fill>
      <patternFill patternType="solid">
        <fgColor rgb="FFFFEA9D"/>
        <bgColor rgb="FF000000"/>
      </patternFill>
    </fill>
    <fill>
      <patternFill patternType="solid">
        <fgColor rgb="FFFFE3A8"/>
        <bgColor rgb="FF000000"/>
      </patternFill>
    </fill>
    <fill>
      <patternFill patternType="solid">
        <fgColor rgb="FFFFD6B9"/>
        <bgColor rgb="FF000000"/>
      </patternFill>
    </fill>
    <fill>
      <patternFill patternType="solid">
        <fgColor rgb="FFFFCDC5"/>
        <bgColor rgb="FF000000"/>
      </patternFill>
    </fill>
    <fill>
      <patternFill patternType="solid">
        <fgColor rgb="FFFFE99E"/>
        <bgColor rgb="FF000000"/>
      </patternFill>
    </fill>
    <fill>
      <patternFill patternType="solid">
        <fgColor rgb="FFC7EFCD"/>
        <bgColor rgb="FF000000"/>
      </patternFill>
    </fill>
    <fill>
      <patternFill patternType="solid">
        <fgColor rgb="FFCBEFCA"/>
        <bgColor rgb="FF000000"/>
      </patternFill>
    </fill>
    <fill>
      <patternFill patternType="solid">
        <fgColor rgb="FFDCEEBA"/>
        <bgColor rgb="FF000000"/>
      </patternFill>
    </fill>
    <fill>
      <patternFill patternType="solid">
        <fgColor rgb="FFFFDDB0"/>
        <bgColor rgb="FF000000"/>
      </patternFill>
    </fill>
    <fill>
      <patternFill patternType="solid">
        <fgColor rgb="FFFFCFC3"/>
        <bgColor rgb="FF000000"/>
      </patternFill>
    </fill>
    <fill>
      <patternFill patternType="solid">
        <fgColor rgb="FFFFE5A4"/>
        <bgColor rgb="FF000000"/>
      </patternFill>
    </fill>
    <fill>
      <patternFill patternType="solid">
        <fgColor rgb="FFFFE4A5"/>
        <bgColor rgb="FF000000"/>
      </patternFill>
    </fill>
    <fill>
      <patternFill patternType="solid">
        <fgColor rgb="FFE2EEB6"/>
        <bgColor rgb="FF000000"/>
      </patternFill>
    </fill>
    <fill>
      <patternFill patternType="solid">
        <fgColor rgb="FFFCEC9F"/>
        <bgColor rgb="FF000000"/>
      </patternFill>
    </fill>
    <fill>
      <patternFill patternType="solid">
        <fgColor rgb="FFFAECA0"/>
        <bgColor rgb="FF000000"/>
      </patternFill>
    </fill>
    <fill>
      <patternFill patternType="solid">
        <fgColor rgb="FFFFDFAD"/>
        <bgColor rgb="FF000000"/>
      </patternFill>
    </fill>
    <fill>
      <patternFill patternType="solid">
        <fgColor rgb="FFFFDAB3"/>
        <bgColor rgb="FF000000"/>
      </patternFill>
    </fill>
    <fill>
      <patternFill patternType="solid">
        <fgColor rgb="FFFFE99F"/>
        <bgColor rgb="FF000000"/>
      </patternFill>
    </fill>
    <fill>
      <patternFill patternType="solid">
        <fgColor rgb="FFE1EEB6"/>
        <bgColor rgb="FF000000"/>
      </patternFill>
    </fill>
    <fill>
      <patternFill patternType="solid">
        <fgColor rgb="FFE5EDB3"/>
        <bgColor rgb="FF000000"/>
      </patternFill>
    </fill>
    <fill>
      <patternFill patternType="solid">
        <fgColor rgb="FFCAEFCA"/>
        <bgColor rgb="FF000000"/>
      </patternFill>
    </fill>
    <fill>
      <patternFill patternType="solid">
        <fgColor rgb="FFD3EFC2"/>
        <bgColor rgb="FF000000"/>
      </patternFill>
    </fill>
    <fill>
      <patternFill patternType="solid">
        <fgColor rgb="FFFFDFAC"/>
        <bgColor rgb="FF000000"/>
      </patternFill>
    </fill>
    <fill>
      <patternFill patternType="solid">
        <fgColor rgb="FFFFE6A4"/>
        <bgColor rgb="FF000000"/>
      </patternFill>
    </fill>
    <fill>
      <patternFill patternType="solid">
        <fgColor rgb="FFFFE4A6"/>
        <bgColor rgb="FF000000"/>
      </patternFill>
    </fill>
    <fill>
      <patternFill patternType="solid">
        <fgColor rgb="FFE4EDB4"/>
        <bgColor rgb="FF000000"/>
      </patternFill>
    </fill>
    <fill>
      <patternFill patternType="solid">
        <fgColor rgb="FFCCEFC9"/>
        <bgColor rgb="FF000000"/>
      </patternFill>
    </fill>
    <fill>
      <patternFill patternType="solid">
        <fgColor rgb="FFD0EFC6"/>
        <bgColor rgb="FF000000"/>
      </patternFill>
    </fill>
    <fill>
      <patternFill patternType="solid">
        <fgColor rgb="FFC8EFCD"/>
        <bgColor rgb="FF000000"/>
      </patternFill>
    </fill>
    <fill>
      <patternFill patternType="solid">
        <fgColor rgb="FFFFD8B7"/>
        <bgColor rgb="FF000000"/>
      </patternFill>
    </fill>
    <fill>
      <patternFill patternType="solid">
        <fgColor rgb="FFFFD3BD"/>
        <bgColor rgb="FF000000"/>
      </patternFill>
    </fill>
    <fill>
      <patternFill patternType="solid">
        <fgColor rgb="FFFFD9B5"/>
        <bgColor rgb="FF000000"/>
      </patternFill>
    </fill>
    <fill>
      <patternFill patternType="solid">
        <fgColor rgb="FFE9EDB0"/>
        <bgColor rgb="FF000000"/>
      </patternFill>
    </fill>
    <fill>
      <patternFill patternType="solid">
        <fgColor rgb="FFEEEDAB"/>
        <bgColor rgb="FF000000"/>
      </patternFill>
    </fill>
    <fill>
      <patternFill patternType="solid">
        <fgColor rgb="FFFFE6A3"/>
        <bgColor rgb="FF000000"/>
      </patternFill>
    </fill>
    <fill>
      <patternFill patternType="solid">
        <fgColor rgb="FFD1EFC4"/>
        <bgColor rgb="FF000000"/>
      </patternFill>
    </fill>
    <fill>
      <patternFill patternType="solid">
        <fgColor rgb="FFFFE0AB"/>
        <bgColor rgb="FF000000"/>
      </patternFill>
    </fill>
    <fill>
      <patternFill patternType="solid">
        <fgColor rgb="FFFFDDAF"/>
        <bgColor rgb="FF000000"/>
      </patternFill>
    </fill>
    <fill>
      <patternFill patternType="solid">
        <fgColor rgb="FFFFDCB1"/>
        <bgColor rgb="FF000000"/>
      </patternFill>
    </fill>
    <fill>
      <patternFill patternType="solid">
        <fgColor rgb="FFFFD9B6"/>
        <bgColor rgb="FF000000"/>
      </patternFill>
    </fill>
    <fill>
      <patternFill patternType="solid">
        <fgColor rgb="FFEAEDAF"/>
        <bgColor rgb="FF000000"/>
      </patternFill>
    </fill>
    <fill>
      <patternFill patternType="solid">
        <fgColor rgb="FFF6ECA4"/>
        <bgColor rgb="FF000000"/>
      </patternFill>
    </fill>
    <fill>
      <patternFill patternType="solid">
        <fgColor rgb="FFD4EEC2"/>
        <bgColor rgb="FF000000"/>
      </patternFill>
    </fill>
  </fills>
  <borders count="54">
    <border>
      <left/>
      <right/>
      <top/>
      <bottom/>
      <diagonal/>
    </border>
    <border>
      <left/>
      <right/>
      <top/>
      <bottom style="medium">
        <color rgb="FF94D2BD"/>
      </bottom>
      <diagonal/>
    </border>
    <border>
      <left/>
      <right/>
      <top style="thick">
        <color rgb="FF0A9396"/>
      </top>
      <bottom/>
      <diagonal/>
    </border>
    <border>
      <left/>
      <right/>
      <top style="thin">
        <color rgb="FFD0D0D0"/>
      </top>
      <bottom/>
      <diagonal/>
    </border>
    <border>
      <left/>
      <right/>
      <top style="medium">
        <color rgb="FF006D77"/>
      </top>
      <bottom/>
      <diagonal/>
    </border>
    <border>
      <left/>
      <right style="medium">
        <color rgb="FF006D77"/>
      </right>
      <top style="medium">
        <color rgb="FF006D77"/>
      </top>
      <bottom/>
      <diagonal/>
    </border>
    <border>
      <left/>
      <right style="medium">
        <color rgb="FF006D77"/>
      </right>
      <top style="thick">
        <color rgb="FF0A9396"/>
      </top>
      <bottom/>
      <diagonal/>
    </border>
    <border>
      <left/>
      <right style="medium">
        <color rgb="FF006D77"/>
      </right>
      <top style="thin">
        <color rgb="FFD0D0D0"/>
      </top>
      <bottom/>
      <diagonal/>
    </border>
    <border>
      <left/>
      <right/>
      <top style="thin">
        <color rgb="FFD0D0D0"/>
      </top>
      <bottom style="medium">
        <color rgb="FF006D77"/>
      </bottom>
      <diagonal/>
    </border>
    <border>
      <left/>
      <right style="medium">
        <color rgb="FF006D77"/>
      </right>
      <top style="thin">
        <color rgb="FFD0D0D0"/>
      </top>
      <bottom style="medium">
        <color rgb="FF006D77"/>
      </bottom>
      <diagonal/>
    </border>
    <border>
      <left/>
      <right/>
      <top style="medium">
        <color rgb="FF006D77"/>
      </top>
      <bottom style="thick">
        <color rgb="FF0A9396"/>
      </bottom>
      <diagonal/>
    </border>
    <border>
      <left/>
      <right style="medium">
        <color rgb="FF006D77"/>
      </right>
      <top style="medium">
        <color rgb="FF006D77"/>
      </top>
      <bottom style="thick">
        <color rgb="FF0A9396"/>
      </bottom>
      <diagonal/>
    </border>
    <border>
      <left/>
      <right/>
      <top/>
      <bottom style="medium">
        <color rgb="FF006D77"/>
      </bottom>
      <diagonal/>
    </border>
    <border>
      <left style="thin">
        <color rgb="FFE0E0E0"/>
      </left>
      <right/>
      <top/>
      <bottom/>
      <diagonal/>
    </border>
    <border>
      <left style="thin">
        <color rgb="FFE0E0E0"/>
      </left>
      <right/>
      <top/>
      <bottom style="medium">
        <color rgb="FF94D2BD"/>
      </bottom>
      <diagonal/>
    </border>
    <border>
      <left style="thin">
        <color rgb="FFE0E0E0"/>
      </left>
      <right/>
      <top style="thick">
        <color rgb="FF0A9396"/>
      </top>
      <bottom/>
      <diagonal/>
    </border>
    <border>
      <left style="thin">
        <color rgb="FFE0E0E0"/>
      </left>
      <right/>
      <top style="thin">
        <color rgb="FFD0D0D0"/>
      </top>
      <bottom/>
      <diagonal/>
    </border>
    <border>
      <left style="thin">
        <color rgb="FFE0E0E0"/>
      </left>
      <right/>
      <top style="medium">
        <color rgb="FF006D77"/>
      </top>
      <bottom/>
      <diagonal/>
    </border>
    <border>
      <left style="thin">
        <color rgb="FFE0E0E0"/>
      </left>
      <right/>
      <top style="thin">
        <color rgb="FFD0D0D0"/>
      </top>
      <bottom style="medium">
        <color rgb="FF006D77"/>
      </bottom>
      <diagonal/>
    </border>
    <border>
      <left style="thin">
        <color rgb="FFE0E0E0"/>
      </left>
      <right/>
      <top style="medium">
        <color rgb="FF006D77"/>
      </top>
      <bottom style="thick">
        <color rgb="FF0A9396"/>
      </bottom>
      <diagonal/>
    </border>
    <border>
      <left style="thin">
        <color rgb="FFE0E0E0"/>
      </left>
      <right/>
      <top/>
      <bottom style="medium">
        <color rgb="FF006D77"/>
      </bottom>
      <diagonal/>
    </border>
    <border>
      <left/>
      <right style="thin">
        <color rgb="FFE0E0E0"/>
      </right>
      <top/>
      <bottom/>
      <diagonal/>
    </border>
    <border>
      <left/>
      <right style="thin">
        <color rgb="FFE0E0E0"/>
      </right>
      <top/>
      <bottom style="medium">
        <color rgb="FF94D2BD"/>
      </bottom>
      <diagonal/>
    </border>
    <border>
      <left/>
      <right style="thin">
        <color rgb="FFE0E0E0"/>
      </right>
      <top style="medium">
        <color rgb="FF006D77"/>
      </top>
      <bottom/>
      <diagonal/>
    </border>
    <border>
      <left/>
      <right style="thin">
        <color rgb="FFE0E0E0"/>
      </right>
      <top style="thick">
        <color rgb="FF0A9396"/>
      </top>
      <bottom/>
      <diagonal/>
    </border>
    <border>
      <left/>
      <right style="thin">
        <color rgb="FFE0E0E0"/>
      </right>
      <top style="thin">
        <color rgb="FFD0D0D0"/>
      </top>
      <bottom/>
      <diagonal/>
    </border>
    <border>
      <left/>
      <right style="thin">
        <color rgb="FFE0E0E0"/>
      </right>
      <top style="thin">
        <color rgb="FFD0D0D0"/>
      </top>
      <bottom style="medium">
        <color rgb="FF006D77"/>
      </bottom>
      <diagonal/>
    </border>
    <border>
      <left style="thin">
        <color rgb="FFE0E0E0"/>
      </left>
      <right/>
      <top style="thin">
        <color rgb="FFD0D0D0"/>
      </top>
      <bottom style="thin">
        <color rgb="FF000000"/>
      </bottom>
      <diagonal/>
    </border>
    <border>
      <left/>
      <right/>
      <top style="thin">
        <color rgb="FFD0D0D0"/>
      </top>
      <bottom style="thin">
        <color rgb="FF000000"/>
      </bottom>
      <diagonal/>
    </border>
    <border>
      <left/>
      <right style="thin">
        <color rgb="FFE0E0E0"/>
      </right>
      <top style="thin">
        <color rgb="FFD0D0D0"/>
      </top>
      <bottom style="thin">
        <color rgb="FF000000"/>
      </bottom>
      <diagonal/>
    </border>
    <border>
      <left style="thin">
        <color rgb="FF000000"/>
      </left>
      <right/>
      <top/>
      <bottom/>
      <diagonal/>
    </border>
    <border>
      <left style="thin">
        <color rgb="FFE0E0E0"/>
      </left>
      <right/>
      <top style="thin">
        <color rgb="FFD0D0D0"/>
      </top>
      <bottom style="medium">
        <color rgb="FF000000"/>
      </bottom>
      <diagonal/>
    </border>
    <border>
      <left/>
      <right/>
      <top style="thin">
        <color rgb="FFD0D0D0"/>
      </top>
      <bottom style="medium">
        <color rgb="FF000000"/>
      </bottom>
      <diagonal/>
    </border>
    <border>
      <left/>
      <right style="thin">
        <color rgb="FFE0E0E0"/>
      </right>
      <top style="thin">
        <color rgb="FFD0D0D0"/>
      </top>
      <bottom style="medium">
        <color rgb="FF000000"/>
      </bottom>
      <diagonal/>
    </border>
    <border>
      <left/>
      <right style="medium">
        <color rgb="FF006D77"/>
      </right>
      <top style="thin">
        <color rgb="FFD0D0D0"/>
      </top>
      <bottom style="medium">
        <color rgb="FF000000"/>
      </bottom>
      <diagonal/>
    </border>
    <border>
      <left/>
      <right style="medium">
        <color rgb="FF006D77"/>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bottom style="thin">
        <color rgb="FFD9D9D9"/>
      </bottom>
      <diagonal/>
    </border>
    <border>
      <left/>
      <right style="thin">
        <color rgb="FFD9D9D9"/>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000000"/>
      </top>
      <bottom style="thin">
        <color rgb="FFD9D9D9"/>
      </bottom>
      <diagonal/>
    </border>
    <border>
      <left style="thin">
        <color rgb="FFD9D9D9"/>
      </left>
      <right style="thin">
        <color rgb="FF000000"/>
      </right>
      <top style="thin">
        <color rgb="FFD9D9D9"/>
      </top>
      <bottom style="thin">
        <color rgb="FFD9D9D9"/>
      </bottom>
      <diagonal/>
    </border>
    <border>
      <left/>
      <right/>
      <top/>
      <bottom style="medium">
        <color rgb="FF000000"/>
      </bottom>
      <diagonal/>
    </border>
    <border>
      <left/>
      <right style="thin">
        <color rgb="FFD9D9D9"/>
      </right>
      <top style="thin">
        <color rgb="FF000000"/>
      </top>
      <bottom style="thin">
        <color rgb="FFD9D9D9"/>
      </bottom>
      <diagonal/>
    </border>
    <border>
      <left/>
      <right style="thin">
        <color rgb="FF000000"/>
      </right>
      <top style="thin">
        <color rgb="FF000000"/>
      </top>
      <bottom style="thin">
        <color rgb="FFD9D9D9"/>
      </bottom>
      <diagonal/>
    </border>
    <border>
      <left style="thin">
        <color rgb="FF000000"/>
      </left>
      <right style="thin">
        <color rgb="FFD9D9D9"/>
      </right>
      <top style="thin">
        <color rgb="FFD9D9D9"/>
      </top>
      <bottom style="thin">
        <color rgb="FFD9D9D9"/>
      </bottom>
      <diagonal/>
    </border>
    <border>
      <left style="thin">
        <color rgb="FF000000"/>
      </left>
      <right style="thin">
        <color rgb="FFD9D9D9"/>
      </right>
      <top/>
      <bottom/>
      <diagonal/>
    </border>
    <border>
      <left style="thin">
        <color rgb="FFD9D9D9"/>
      </left>
      <right style="thin">
        <color rgb="FF000000"/>
      </right>
      <top style="thin">
        <color rgb="FFD9D9D9"/>
      </top>
      <bottom/>
      <diagonal/>
    </border>
    <border>
      <left style="thin">
        <color rgb="FF000000"/>
      </left>
      <right style="thin">
        <color rgb="FFD9D9D9"/>
      </right>
      <top/>
      <bottom style="thin">
        <color rgb="FFD9D9D9"/>
      </bottom>
      <diagonal/>
    </border>
  </borders>
  <cellStyleXfs count="1">
    <xf numFmtId="0" fontId="0" fillId="0" borderId="0"/>
  </cellStyleXfs>
  <cellXfs count="247">
    <xf numFmtId="0" fontId="0" fillId="0" borderId="0" xfId="0"/>
    <xf numFmtId="0" fontId="4" fillId="0" borderId="0" xfId="0" applyFont="1"/>
    <xf numFmtId="0" fontId="2" fillId="0" borderId="0" xfId="0" applyFont="1"/>
    <xf numFmtId="0" fontId="3" fillId="0" borderId="0" xfId="0" applyFont="1"/>
    <xf numFmtId="164" fontId="0" fillId="0" borderId="0" xfId="0" applyNumberFormat="1"/>
    <xf numFmtId="0" fontId="7" fillId="0" borderId="0" xfId="0" applyFont="1"/>
    <xf numFmtId="0" fontId="0" fillId="0" borderId="0" xfId="0" applyAlignment="1">
      <alignment horizontal="center"/>
    </xf>
    <xf numFmtId="17" fontId="0" fillId="0" borderId="0" xfId="0" applyNumberFormat="1" applyAlignment="1">
      <alignment horizontal="center"/>
    </xf>
    <xf numFmtId="2" fontId="0" fillId="0" borderId="0" xfId="0" applyNumberFormat="1" applyAlignment="1">
      <alignment horizontal="center"/>
    </xf>
    <xf numFmtId="0" fontId="1" fillId="2" borderId="0" xfId="0" applyFont="1" applyFill="1" applyAlignment="1">
      <alignment horizontal="center"/>
    </xf>
    <xf numFmtId="0" fontId="2" fillId="0" borderId="0" xfId="0" applyFont="1" applyAlignment="1">
      <alignment horizontal="center"/>
    </xf>
    <xf numFmtId="0" fontId="2" fillId="2" borderId="0" xfId="0" applyFont="1" applyFill="1" applyAlignment="1">
      <alignment horizontal="center"/>
    </xf>
    <xf numFmtId="2" fontId="4" fillId="0" borderId="0" xfId="0" applyNumberFormat="1" applyFont="1" applyAlignment="1">
      <alignment horizontal="center"/>
    </xf>
    <xf numFmtId="0" fontId="0" fillId="0" borderId="0" xfId="0" applyAlignment="1">
      <alignment horizontal="center" vertical="center" wrapText="1"/>
    </xf>
    <xf numFmtId="0" fontId="2" fillId="0" borderId="0" xfId="0" applyFont="1" applyAlignment="1">
      <alignment horizontal="center" vertical="center" wrapText="1"/>
    </xf>
    <xf numFmtId="0" fontId="0" fillId="0" borderId="1" xfId="0" applyBorder="1"/>
    <xf numFmtId="0" fontId="9" fillId="4" borderId="0" xfId="0" applyFont="1" applyFill="1" applyAlignment="1">
      <alignment horizontal="center"/>
    </xf>
    <xf numFmtId="0" fontId="0" fillId="5" borderId="2" xfId="0" applyFill="1" applyBorder="1" applyAlignment="1">
      <alignment horizontal="center"/>
    </xf>
    <xf numFmtId="0" fontId="0" fillId="6" borderId="3" xfId="0" applyFill="1" applyBorder="1" applyAlignment="1">
      <alignment horizontal="center"/>
    </xf>
    <xf numFmtId="0" fontId="0" fillId="5" borderId="3" xfId="0" applyFill="1" applyBorder="1" applyAlignment="1">
      <alignment horizontal="center"/>
    </xf>
    <xf numFmtId="2" fontId="0" fillId="5" borderId="3" xfId="0" applyNumberFormat="1" applyFill="1" applyBorder="1" applyAlignment="1">
      <alignment horizontal="center"/>
    </xf>
    <xf numFmtId="2" fontId="0" fillId="6" borderId="3" xfId="0" applyNumberFormat="1" applyFill="1" applyBorder="1" applyAlignment="1">
      <alignment horizontal="center"/>
    </xf>
    <xf numFmtId="2" fontId="4" fillId="6" borderId="3" xfId="0" applyNumberFormat="1" applyFont="1" applyFill="1" applyBorder="1" applyAlignment="1">
      <alignment horizontal="center"/>
    </xf>
    <xf numFmtId="2" fontId="0" fillId="5" borderId="2" xfId="0" applyNumberFormat="1" applyFill="1" applyBorder="1" applyAlignment="1">
      <alignment horizontal="center"/>
    </xf>
    <xf numFmtId="0" fontId="10" fillId="5" borderId="2" xfId="0" applyFont="1" applyFill="1" applyBorder="1" applyAlignment="1">
      <alignment horizontal="center"/>
    </xf>
    <xf numFmtId="0" fontId="10" fillId="6" borderId="3" xfId="0" applyFont="1" applyFill="1" applyBorder="1" applyAlignment="1">
      <alignment horizontal="center"/>
    </xf>
    <xf numFmtId="0" fontId="10" fillId="5" borderId="3" xfId="0" applyFont="1" applyFill="1" applyBorder="1" applyAlignment="1">
      <alignment horizontal="center"/>
    </xf>
    <xf numFmtId="2" fontId="0" fillId="5" borderId="6" xfId="0" applyNumberFormat="1" applyFill="1" applyBorder="1" applyAlignment="1">
      <alignment horizontal="center"/>
    </xf>
    <xf numFmtId="2" fontId="0" fillId="5" borderId="7" xfId="0" applyNumberFormat="1" applyFill="1" applyBorder="1" applyAlignment="1">
      <alignment horizontal="center"/>
    </xf>
    <xf numFmtId="2" fontId="0" fillId="6" borderId="7" xfId="0" applyNumberFormat="1" applyFill="1" applyBorder="1" applyAlignment="1">
      <alignment horizontal="center"/>
    </xf>
    <xf numFmtId="0" fontId="10" fillId="5" borderId="8" xfId="0" applyFont="1" applyFill="1" applyBorder="1" applyAlignment="1">
      <alignment horizontal="center"/>
    </xf>
    <xf numFmtId="2" fontId="4" fillId="5" borderId="8" xfId="0" applyNumberFormat="1" applyFont="1" applyFill="1" applyBorder="1" applyAlignment="1">
      <alignment horizontal="center"/>
    </xf>
    <xf numFmtId="2" fontId="4" fillId="5" borderId="9" xfId="0" applyNumberFormat="1" applyFont="1" applyFill="1" applyBorder="1" applyAlignment="1">
      <alignment horizontal="center"/>
    </xf>
    <xf numFmtId="10" fontId="2" fillId="5" borderId="12" xfId="0" applyNumberFormat="1" applyFont="1" applyFill="1" applyBorder="1" applyAlignment="1">
      <alignment horizontal="center"/>
    </xf>
    <xf numFmtId="0" fontId="0" fillId="0" borderId="13" xfId="0" applyBorder="1"/>
    <xf numFmtId="0" fontId="0" fillId="0" borderId="14" xfId="0" applyBorder="1"/>
    <xf numFmtId="0" fontId="11" fillId="0" borderId="13" xfId="0" applyFont="1" applyBorder="1"/>
    <xf numFmtId="0" fontId="8" fillId="5" borderId="20" xfId="0" applyFont="1" applyFill="1" applyBorder="1" applyAlignment="1">
      <alignment horizontal="center"/>
    </xf>
    <xf numFmtId="0" fontId="0" fillId="0" borderId="21" xfId="0" applyBorder="1"/>
    <xf numFmtId="0" fontId="0" fillId="0" borderId="22" xfId="0" applyBorder="1"/>
    <xf numFmtId="2" fontId="0" fillId="5" borderId="24" xfId="0" applyNumberFormat="1" applyFill="1" applyBorder="1" applyAlignment="1">
      <alignment horizontal="center"/>
    </xf>
    <xf numFmtId="2" fontId="0" fillId="5" borderId="25" xfId="0" applyNumberFormat="1" applyFill="1" applyBorder="1" applyAlignment="1">
      <alignment horizontal="center"/>
    </xf>
    <xf numFmtId="2" fontId="0" fillId="6" borderId="25" xfId="0" applyNumberFormat="1" applyFill="1" applyBorder="1" applyAlignment="1">
      <alignment horizontal="center"/>
    </xf>
    <xf numFmtId="2" fontId="4" fillId="5" borderId="26" xfId="0" applyNumberFormat="1" applyFont="1" applyFill="1" applyBorder="1" applyAlignment="1">
      <alignment horizontal="center"/>
    </xf>
    <xf numFmtId="0" fontId="11" fillId="0" borderId="0" xfId="0" applyFont="1"/>
    <xf numFmtId="0" fontId="9" fillId="4" borderId="0" xfId="0" applyFont="1" applyFill="1" applyAlignment="1">
      <alignment horizontal="center" vertical="center"/>
    </xf>
    <xf numFmtId="0" fontId="12" fillId="4" borderId="0" xfId="0" applyFont="1" applyFill="1"/>
    <xf numFmtId="0" fontId="9" fillId="4" borderId="0" xfId="0" applyFont="1" applyFill="1"/>
    <xf numFmtId="0" fontId="15" fillId="4" borderId="13" xfId="0" applyFont="1" applyFill="1" applyBorder="1"/>
    <xf numFmtId="0" fontId="15" fillId="4" borderId="0" xfId="0" applyFont="1" applyFill="1"/>
    <xf numFmtId="0" fontId="9" fillId="7" borderId="13" xfId="0" applyFont="1" applyFill="1" applyBorder="1" applyAlignment="1">
      <alignment horizontal="center"/>
    </xf>
    <xf numFmtId="0" fontId="9" fillId="7" borderId="0" xfId="0" applyFont="1" applyFill="1" applyAlignment="1">
      <alignment horizontal="center"/>
    </xf>
    <xf numFmtId="0" fontId="9" fillId="7" borderId="17" xfId="0" applyFont="1" applyFill="1" applyBorder="1" applyAlignment="1">
      <alignment horizontal="center"/>
    </xf>
    <xf numFmtId="0" fontId="9" fillId="7" borderId="4" xfId="0" applyFont="1" applyFill="1" applyBorder="1" applyAlignment="1">
      <alignment horizontal="center"/>
    </xf>
    <xf numFmtId="2" fontId="4" fillId="6" borderId="7" xfId="0" applyNumberFormat="1" applyFont="1" applyFill="1" applyBorder="1" applyAlignment="1">
      <alignment horizontal="center"/>
    </xf>
    <xf numFmtId="0" fontId="16" fillId="0" borderId="0" xfId="0" applyFont="1"/>
    <xf numFmtId="0" fontId="17" fillId="0" borderId="13" xfId="0" applyFont="1" applyBorder="1"/>
    <xf numFmtId="0" fontId="18" fillId="0" borderId="0" xfId="0" applyFont="1"/>
    <xf numFmtId="0" fontId="9" fillId="7" borderId="19" xfId="0" applyFont="1" applyFill="1" applyBorder="1" applyAlignment="1">
      <alignment horizontal="center"/>
    </xf>
    <xf numFmtId="0" fontId="9" fillId="7" borderId="10" xfId="0" applyFont="1" applyFill="1" applyBorder="1" applyAlignment="1">
      <alignment horizontal="center"/>
    </xf>
    <xf numFmtId="0" fontId="9" fillId="7" borderId="11" xfId="0" applyFont="1" applyFill="1" applyBorder="1" applyAlignment="1">
      <alignment horizontal="center"/>
    </xf>
    <xf numFmtId="0" fontId="19" fillId="3" borderId="13" xfId="0" applyFont="1" applyFill="1" applyBorder="1"/>
    <xf numFmtId="0" fontId="20" fillId="3" borderId="0" xfId="0" applyFont="1" applyFill="1"/>
    <xf numFmtId="0" fontId="20" fillId="0" borderId="0" xfId="0" applyFont="1"/>
    <xf numFmtId="0" fontId="8" fillId="5" borderId="15" xfId="0" applyFont="1" applyFill="1" applyBorder="1" applyAlignment="1">
      <alignment horizontal="left"/>
    </xf>
    <xf numFmtId="0" fontId="8" fillId="6" borderId="16" xfId="0" applyFont="1" applyFill="1" applyBorder="1" applyAlignment="1">
      <alignment horizontal="left"/>
    </xf>
    <xf numFmtId="0" fontId="8" fillId="5" borderId="16" xfId="0" applyFont="1" applyFill="1" applyBorder="1" applyAlignment="1">
      <alignment horizontal="left"/>
    </xf>
    <xf numFmtId="0" fontId="14" fillId="4" borderId="13" xfId="0" applyFont="1" applyFill="1" applyBorder="1" applyAlignment="1">
      <alignment horizontal="center"/>
    </xf>
    <xf numFmtId="0" fontId="14" fillId="4" borderId="0" xfId="0" applyFont="1" applyFill="1" applyAlignment="1">
      <alignment horizontal="center"/>
    </xf>
    <xf numFmtId="0" fontId="14" fillId="4" borderId="21" xfId="0" applyFont="1" applyFill="1" applyBorder="1" applyAlignment="1">
      <alignment horizontal="center"/>
    </xf>
    <xf numFmtId="0" fontId="12" fillId="4" borderId="13" xfId="0" applyFont="1" applyFill="1" applyBorder="1"/>
    <xf numFmtId="0" fontId="12" fillId="4" borderId="21" xfId="0" applyFont="1" applyFill="1" applyBorder="1"/>
    <xf numFmtId="0" fontId="21" fillId="4" borderId="0" xfId="0" applyFont="1" applyFill="1"/>
    <xf numFmtId="0" fontId="12" fillId="4" borderId="0" xfId="0" applyFont="1" applyFill="1" applyAlignment="1">
      <alignment horizontal="center" vertical="center"/>
    </xf>
    <xf numFmtId="0" fontId="12" fillId="4" borderId="0" xfId="0" applyFont="1" applyFill="1" applyAlignment="1">
      <alignment horizontal="center"/>
    </xf>
    <xf numFmtId="17" fontId="12" fillId="4" borderId="0" xfId="0" applyNumberFormat="1" applyFont="1" applyFill="1" applyAlignment="1">
      <alignment horizontal="center"/>
    </xf>
    <xf numFmtId="0" fontId="9" fillId="4" borderId="13" xfId="0" applyFont="1" applyFill="1" applyBorder="1"/>
    <xf numFmtId="0" fontId="9" fillId="4" borderId="21" xfId="0" applyFont="1" applyFill="1" applyBorder="1"/>
    <xf numFmtId="0" fontId="22" fillId="4" borderId="13" xfId="0" applyFont="1" applyFill="1" applyBorder="1"/>
    <xf numFmtId="0" fontId="22" fillId="4" borderId="0" xfId="0" applyFont="1" applyFill="1"/>
    <xf numFmtId="0" fontId="22" fillId="4" borderId="0" xfId="0" applyFont="1" applyFill="1" applyAlignment="1">
      <alignment horizontal="center"/>
    </xf>
    <xf numFmtId="0" fontId="22" fillId="4" borderId="21" xfId="0" applyFont="1" applyFill="1" applyBorder="1"/>
    <xf numFmtId="0" fontId="10" fillId="5" borderId="28" xfId="0" applyFont="1" applyFill="1" applyBorder="1" applyAlignment="1">
      <alignment horizontal="center"/>
    </xf>
    <xf numFmtId="2" fontId="0" fillId="5" borderId="28" xfId="0" applyNumberFormat="1" applyFill="1" applyBorder="1" applyAlignment="1">
      <alignment horizontal="center"/>
    </xf>
    <xf numFmtId="2" fontId="0" fillId="5" borderId="29" xfId="0" applyNumberFormat="1" applyFill="1" applyBorder="1" applyAlignment="1">
      <alignment horizontal="center"/>
    </xf>
    <xf numFmtId="0" fontId="10" fillId="6" borderId="0" xfId="0" applyFont="1" applyFill="1" applyAlignment="1">
      <alignment horizontal="center"/>
    </xf>
    <xf numFmtId="2" fontId="0" fillId="6" borderId="0" xfId="0" applyNumberFormat="1" applyFill="1" applyAlignment="1">
      <alignment horizontal="center"/>
    </xf>
    <xf numFmtId="2" fontId="0" fillId="6" borderId="21" xfId="0" applyNumberFormat="1" applyFill="1" applyBorder="1" applyAlignment="1">
      <alignment horizontal="center"/>
    </xf>
    <xf numFmtId="0" fontId="10" fillId="6" borderId="28" xfId="0" applyFont="1" applyFill="1" applyBorder="1" applyAlignment="1">
      <alignment horizontal="center"/>
    </xf>
    <xf numFmtId="2" fontId="0" fillId="6" borderId="28" xfId="0" applyNumberFormat="1" applyFill="1" applyBorder="1" applyAlignment="1">
      <alignment horizontal="center"/>
    </xf>
    <xf numFmtId="2" fontId="0" fillId="6" borderId="29" xfId="0" applyNumberFormat="1" applyFill="1" applyBorder="1" applyAlignment="1">
      <alignment horizontal="center"/>
    </xf>
    <xf numFmtId="0" fontId="10" fillId="5" borderId="0" xfId="0" applyFont="1" applyFill="1" applyAlignment="1">
      <alignment horizontal="center"/>
    </xf>
    <xf numFmtId="2" fontId="0" fillId="5" borderId="0" xfId="0" applyNumberFormat="1" applyFill="1" applyAlignment="1">
      <alignment horizontal="center"/>
    </xf>
    <xf numFmtId="2" fontId="0" fillId="5" borderId="21" xfId="0" applyNumberFormat="1" applyFill="1" applyBorder="1" applyAlignment="1">
      <alignment horizontal="center"/>
    </xf>
    <xf numFmtId="0" fontId="0" fillId="0" borderId="30" xfId="0" applyBorder="1"/>
    <xf numFmtId="0" fontId="2" fillId="5" borderId="15" xfId="0" applyFont="1" applyFill="1" applyBorder="1" applyAlignment="1">
      <alignment horizontal="center"/>
    </xf>
    <xf numFmtId="0" fontId="8" fillId="6" borderId="16" xfId="0" applyFont="1" applyFill="1" applyBorder="1" applyAlignment="1">
      <alignment horizontal="center"/>
    </xf>
    <xf numFmtId="0" fontId="8" fillId="5" borderId="16" xfId="0" applyFont="1" applyFill="1" applyBorder="1" applyAlignment="1">
      <alignment horizontal="center"/>
    </xf>
    <xf numFmtId="0" fontId="10" fillId="5" borderId="32" xfId="0" applyFont="1" applyFill="1" applyBorder="1" applyAlignment="1">
      <alignment horizontal="center"/>
    </xf>
    <xf numFmtId="2" fontId="0" fillId="5" borderId="32" xfId="0" applyNumberFormat="1" applyFill="1" applyBorder="1" applyAlignment="1">
      <alignment horizontal="center"/>
    </xf>
    <xf numFmtId="2" fontId="0" fillId="5" borderId="33" xfId="0" applyNumberFormat="1" applyFill="1" applyBorder="1" applyAlignment="1">
      <alignment horizontal="center"/>
    </xf>
    <xf numFmtId="0" fontId="10" fillId="6" borderId="32" xfId="0" applyFont="1" applyFill="1" applyBorder="1" applyAlignment="1">
      <alignment horizontal="center"/>
    </xf>
    <xf numFmtId="2" fontId="0" fillId="6" borderId="32" xfId="0" applyNumberFormat="1" applyFill="1" applyBorder="1" applyAlignment="1">
      <alignment horizontal="center"/>
    </xf>
    <xf numFmtId="2" fontId="0" fillId="6" borderId="33" xfId="0" applyNumberFormat="1" applyFill="1" applyBorder="1" applyAlignment="1">
      <alignment horizontal="center"/>
    </xf>
    <xf numFmtId="0" fontId="2" fillId="5" borderId="27" xfId="0" applyFont="1" applyFill="1" applyBorder="1" applyAlignment="1">
      <alignment horizontal="center"/>
    </xf>
    <xf numFmtId="0" fontId="2" fillId="6" borderId="13" xfId="0" applyFont="1" applyFill="1" applyBorder="1" applyAlignment="1">
      <alignment horizontal="center"/>
    </xf>
    <xf numFmtId="0" fontId="2" fillId="6" borderId="27" xfId="0" applyFont="1" applyFill="1" applyBorder="1" applyAlignment="1">
      <alignment horizontal="center"/>
    </xf>
    <xf numFmtId="0" fontId="2" fillId="5" borderId="13" xfId="0" applyFont="1" applyFill="1" applyBorder="1" applyAlignment="1">
      <alignment horizontal="center"/>
    </xf>
    <xf numFmtId="0" fontId="2" fillId="5" borderId="31" xfId="0" applyFont="1" applyFill="1" applyBorder="1" applyAlignment="1">
      <alignment horizontal="center"/>
    </xf>
    <xf numFmtId="0" fontId="2" fillId="6" borderId="31" xfId="0" applyFont="1" applyFill="1" applyBorder="1" applyAlignment="1">
      <alignment horizontal="center"/>
    </xf>
    <xf numFmtId="0" fontId="8" fillId="6" borderId="31" xfId="0" applyFont="1" applyFill="1" applyBorder="1" applyAlignment="1">
      <alignment horizontal="center"/>
    </xf>
    <xf numFmtId="0" fontId="8" fillId="5" borderId="18" xfId="0" applyFont="1" applyFill="1" applyBorder="1" applyAlignment="1">
      <alignment horizontal="center"/>
    </xf>
    <xf numFmtId="2" fontId="0" fillId="5" borderId="34" xfId="0" applyNumberFormat="1" applyFill="1" applyBorder="1" applyAlignment="1">
      <alignment horizontal="center"/>
    </xf>
    <xf numFmtId="2" fontId="0" fillId="6" borderId="35" xfId="0" applyNumberFormat="1" applyFill="1" applyBorder="1" applyAlignment="1">
      <alignment horizontal="center"/>
    </xf>
    <xf numFmtId="2" fontId="0" fillId="6" borderId="34" xfId="0" applyNumberFormat="1" applyFill="1" applyBorder="1" applyAlignment="1">
      <alignment horizontal="center"/>
    </xf>
    <xf numFmtId="2" fontId="0" fillId="5" borderId="35" xfId="0" applyNumberFormat="1" applyFill="1" applyBorder="1" applyAlignment="1">
      <alignment horizontal="center"/>
    </xf>
    <xf numFmtId="2" fontId="4" fillId="5" borderId="0" xfId="0" applyNumberFormat="1" applyFont="1" applyFill="1" applyAlignment="1">
      <alignment horizontal="center"/>
    </xf>
    <xf numFmtId="2" fontId="4" fillId="5" borderId="35" xfId="0" applyNumberFormat="1" applyFont="1" applyFill="1" applyBorder="1" applyAlignment="1">
      <alignment horizontal="center"/>
    </xf>
    <xf numFmtId="10" fontId="0" fillId="0" borderId="0" xfId="0" applyNumberFormat="1"/>
    <xf numFmtId="2" fontId="0" fillId="0" borderId="0" xfId="0" applyNumberFormat="1"/>
    <xf numFmtId="10" fontId="0" fillId="0" borderId="0" xfId="0" applyNumberFormat="1" applyAlignment="1">
      <alignment horizontal="center"/>
    </xf>
    <xf numFmtId="10" fontId="24" fillId="6" borderId="36" xfId="0" applyNumberFormat="1" applyFont="1" applyFill="1" applyBorder="1" applyAlignment="1">
      <alignment horizontal="center"/>
    </xf>
    <xf numFmtId="10" fontId="24" fillId="6" borderId="37" xfId="0" applyNumberFormat="1" applyFont="1" applyFill="1" applyBorder="1" applyAlignment="1">
      <alignment horizontal="center"/>
    </xf>
    <xf numFmtId="10" fontId="4" fillId="6" borderId="36" xfId="0" applyNumberFormat="1" applyFont="1" applyFill="1" applyBorder="1" applyAlignment="1">
      <alignment horizontal="center"/>
    </xf>
    <xf numFmtId="10" fontId="4" fillId="6" borderId="37" xfId="0" applyNumberFormat="1" applyFont="1" applyFill="1" applyBorder="1" applyAlignment="1">
      <alignment horizontal="center"/>
    </xf>
    <xf numFmtId="0" fontId="25" fillId="6" borderId="38" xfId="0" applyFont="1" applyFill="1" applyBorder="1" applyAlignment="1">
      <alignment horizontal="center" vertical="center"/>
    </xf>
    <xf numFmtId="0" fontId="25" fillId="6" borderId="39" xfId="0" applyFont="1" applyFill="1" applyBorder="1" applyAlignment="1">
      <alignment horizontal="center" vertical="center"/>
    </xf>
    <xf numFmtId="10" fontId="4" fillId="6" borderId="40" xfId="0" applyNumberFormat="1" applyFont="1" applyFill="1" applyBorder="1" applyAlignment="1">
      <alignment horizontal="center"/>
    </xf>
    <xf numFmtId="10" fontId="4" fillId="6" borderId="41" xfId="0" applyNumberFormat="1" applyFont="1" applyFill="1" applyBorder="1" applyAlignment="1">
      <alignment horizontal="center"/>
    </xf>
    <xf numFmtId="0" fontId="25" fillId="6" borderId="42" xfId="0" applyFont="1" applyFill="1" applyBorder="1" applyAlignment="1">
      <alignment horizontal="center" vertical="center"/>
    </xf>
    <xf numFmtId="0" fontId="8" fillId="6" borderId="43" xfId="0" applyFont="1" applyFill="1" applyBorder="1" applyAlignment="1">
      <alignment horizontal="left"/>
    </xf>
    <xf numFmtId="0" fontId="23" fillId="6" borderId="43" xfId="0" applyFont="1" applyFill="1" applyBorder="1" applyAlignment="1">
      <alignment horizontal="left"/>
    </xf>
    <xf numFmtId="0" fontId="8" fillId="6" borderId="44" xfId="0" applyFont="1" applyFill="1" applyBorder="1" applyAlignment="1">
      <alignment horizontal="left"/>
    </xf>
    <xf numFmtId="0" fontId="26" fillId="0" borderId="0" xfId="0" applyFont="1"/>
    <xf numFmtId="0" fontId="8" fillId="6" borderId="43" xfId="0" applyFont="1" applyFill="1" applyBorder="1" applyAlignment="1">
      <alignment horizontal="center"/>
    </xf>
    <xf numFmtId="0" fontId="23" fillId="6" borderId="43" xfId="0" applyFont="1" applyFill="1" applyBorder="1" applyAlignment="1">
      <alignment horizontal="center"/>
    </xf>
    <xf numFmtId="0" fontId="8" fillId="6" borderId="44" xfId="0" applyFont="1" applyFill="1" applyBorder="1" applyAlignment="1">
      <alignment horizontal="center"/>
    </xf>
    <xf numFmtId="0" fontId="27" fillId="0" borderId="0" xfId="0" applyFont="1"/>
    <xf numFmtId="2" fontId="24" fillId="0" borderId="0" xfId="0" applyNumberFormat="1" applyFont="1"/>
    <xf numFmtId="0" fontId="2" fillId="0" borderId="0" xfId="0" applyFont="1" applyAlignment="1">
      <alignment horizontal="center" vertical="center"/>
    </xf>
    <xf numFmtId="0" fontId="26" fillId="0" borderId="0" xfId="0" applyFont="1" applyAlignment="1">
      <alignment horizontal="left" vertical="center"/>
    </xf>
    <xf numFmtId="0" fontId="28" fillId="0" borderId="0" xfId="0" applyFont="1" applyAlignment="1">
      <alignment horizontal="center" vertical="center" wrapText="1"/>
    </xf>
    <xf numFmtId="0" fontId="0" fillId="0" borderId="0" xfId="0" applyAlignment="1">
      <alignment horizontal="center" vertical="center"/>
    </xf>
    <xf numFmtId="0" fontId="9" fillId="7" borderId="17" xfId="0" applyFont="1" applyFill="1" applyBorder="1" applyAlignment="1">
      <alignment horizontal="center" vertical="center"/>
    </xf>
    <xf numFmtId="0" fontId="9" fillId="7" borderId="4" xfId="0" applyFont="1" applyFill="1" applyBorder="1" applyAlignment="1">
      <alignment horizontal="center" vertical="center"/>
    </xf>
    <xf numFmtId="0" fontId="9" fillId="7" borderId="4" xfId="0" applyFont="1" applyFill="1" applyBorder="1" applyAlignment="1">
      <alignment horizontal="center" vertical="center" wrapText="1"/>
    </xf>
    <xf numFmtId="0" fontId="9" fillId="7" borderId="5" xfId="0" applyFont="1" applyFill="1" applyBorder="1" applyAlignment="1">
      <alignment horizontal="center" vertical="center" wrapText="1"/>
    </xf>
    <xf numFmtId="0" fontId="24" fillId="0" borderId="0" xfId="0" applyFont="1"/>
    <xf numFmtId="0" fontId="29" fillId="8" borderId="28" xfId="0" applyFont="1" applyFill="1" applyBorder="1"/>
    <xf numFmtId="0" fontId="24" fillId="8" borderId="28" xfId="0" applyFont="1" applyFill="1" applyBorder="1"/>
    <xf numFmtId="0" fontId="24" fillId="8" borderId="29" xfId="0" applyFont="1" applyFill="1" applyBorder="1"/>
    <xf numFmtId="0" fontId="29" fillId="9" borderId="28" xfId="0" applyFont="1" applyFill="1" applyBorder="1"/>
    <xf numFmtId="0" fontId="24" fillId="9" borderId="28" xfId="0" applyFont="1" applyFill="1" applyBorder="1"/>
    <xf numFmtId="0" fontId="24" fillId="9" borderId="29" xfId="0" applyFont="1" applyFill="1" applyBorder="1"/>
    <xf numFmtId="0" fontId="29" fillId="8" borderId="32" xfId="0" applyFont="1" applyFill="1" applyBorder="1"/>
    <xf numFmtId="0" fontId="24" fillId="8" borderId="32" xfId="0" applyFont="1" applyFill="1" applyBorder="1"/>
    <xf numFmtId="0" fontId="24" fillId="8" borderId="33" xfId="0" applyFont="1" applyFill="1" applyBorder="1"/>
    <xf numFmtId="0" fontId="29" fillId="9" borderId="32" xfId="0" applyFont="1" applyFill="1" applyBorder="1"/>
    <xf numFmtId="0" fontId="24" fillId="9" borderId="32" xfId="0" applyFont="1" applyFill="1" applyBorder="1"/>
    <xf numFmtId="0" fontId="24" fillId="9" borderId="33" xfId="0" applyFont="1" applyFill="1" applyBorder="1"/>
    <xf numFmtId="0" fontId="29" fillId="8" borderId="8" xfId="0" applyFont="1" applyFill="1" applyBorder="1"/>
    <xf numFmtId="0" fontId="24" fillId="8" borderId="8" xfId="0" applyFont="1" applyFill="1" applyBorder="1"/>
    <xf numFmtId="0" fontId="24" fillId="8" borderId="26" xfId="0" applyFont="1" applyFill="1" applyBorder="1"/>
    <xf numFmtId="2" fontId="0" fillId="0" borderId="0" xfId="0" applyNumberFormat="1" applyAlignment="1">
      <alignment horizontal="center" vertical="center"/>
    </xf>
    <xf numFmtId="2" fontId="0" fillId="0" borderId="47" xfId="0" applyNumberFormat="1" applyBorder="1" applyAlignment="1">
      <alignment horizontal="center" vertical="center"/>
    </xf>
    <xf numFmtId="0" fontId="24" fillId="0" borderId="21" xfId="0" applyFont="1" applyBorder="1"/>
    <xf numFmtId="0" fontId="24" fillId="8" borderId="34" xfId="0" applyFont="1" applyFill="1" applyBorder="1"/>
    <xf numFmtId="0" fontId="24" fillId="9" borderId="34" xfId="0" applyFont="1" applyFill="1" applyBorder="1"/>
    <xf numFmtId="0" fontId="24" fillId="8" borderId="9" xfId="0" applyFont="1" applyFill="1" applyBorder="1"/>
    <xf numFmtId="0" fontId="9" fillId="7" borderId="23" xfId="0" applyFont="1" applyFill="1" applyBorder="1" applyAlignment="1">
      <alignment horizontal="center"/>
    </xf>
    <xf numFmtId="0" fontId="1" fillId="7" borderId="42" xfId="0" applyFont="1" applyFill="1" applyBorder="1" applyAlignment="1">
      <alignment horizontal="center" vertical="center"/>
    </xf>
    <xf numFmtId="0" fontId="1" fillId="7" borderId="38" xfId="0" applyFont="1" applyFill="1" applyBorder="1" applyAlignment="1">
      <alignment horizontal="center" vertical="center"/>
    </xf>
    <xf numFmtId="0" fontId="1" fillId="7" borderId="39" xfId="0" applyFont="1" applyFill="1" applyBorder="1" applyAlignment="1">
      <alignment horizontal="center" vertical="center"/>
    </xf>
    <xf numFmtId="0" fontId="30" fillId="10" borderId="4" xfId="0" applyFont="1" applyFill="1" applyBorder="1"/>
    <xf numFmtId="0" fontId="30" fillId="10" borderId="23" xfId="0" applyFont="1" applyFill="1" applyBorder="1"/>
    <xf numFmtId="0" fontId="31" fillId="9" borderId="45" xfId="0" applyFont="1" applyFill="1" applyBorder="1"/>
    <xf numFmtId="0" fontId="31" fillId="9" borderId="48" xfId="0" applyFont="1" applyFill="1" applyBorder="1"/>
    <xf numFmtId="0" fontId="31" fillId="9" borderId="49" xfId="0" applyFont="1" applyFill="1" applyBorder="1"/>
    <xf numFmtId="0" fontId="32" fillId="9" borderId="50" xfId="0" applyFont="1" applyFill="1" applyBorder="1"/>
    <xf numFmtId="10" fontId="24" fillId="11" borderId="36" xfId="0" applyNumberFormat="1" applyFont="1" applyFill="1" applyBorder="1"/>
    <xf numFmtId="10" fontId="24" fillId="12" borderId="36" xfId="0" applyNumberFormat="1" applyFont="1" applyFill="1" applyBorder="1"/>
    <xf numFmtId="10" fontId="24" fillId="13" borderId="36" xfId="0" applyNumberFormat="1" applyFont="1" applyFill="1" applyBorder="1"/>
    <xf numFmtId="10" fontId="24" fillId="14" borderId="36" xfId="0" applyNumberFormat="1" applyFont="1" applyFill="1" applyBorder="1"/>
    <xf numFmtId="10" fontId="24" fillId="15" borderId="36" xfId="0" applyNumberFormat="1" applyFont="1" applyFill="1" applyBorder="1"/>
    <xf numFmtId="10" fontId="24" fillId="16" borderId="36" xfId="0" applyNumberFormat="1" applyFont="1" applyFill="1" applyBorder="1"/>
    <xf numFmtId="10" fontId="24" fillId="17" borderId="36" xfId="0" applyNumberFormat="1" applyFont="1" applyFill="1" applyBorder="1"/>
    <xf numFmtId="10" fontId="24" fillId="18" borderId="36" xfId="0" applyNumberFormat="1" applyFont="1" applyFill="1" applyBorder="1"/>
    <xf numFmtId="10" fontId="24" fillId="19" borderId="36" xfId="0" applyNumberFormat="1" applyFont="1" applyFill="1" applyBorder="1"/>
    <xf numFmtId="10" fontId="24" fillId="20" borderId="46" xfId="0" applyNumberFormat="1" applyFont="1" applyFill="1" applyBorder="1"/>
    <xf numFmtId="0" fontId="32" fillId="9" borderId="51" xfId="0" applyFont="1" applyFill="1" applyBorder="1"/>
    <xf numFmtId="10" fontId="24" fillId="21" borderId="40" xfId="0" applyNumberFormat="1" applyFont="1" applyFill="1" applyBorder="1"/>
    <xf numFmtId="10" fontId="24" fillId="22" borderId="40" xfId="0" applyNumberFormat="1" applyFont="1" applyFill="1" applyBorder="1"/>
    <xf numFmtId="10" fontId="24" fillId="23" borderId="40" xfId="0" applyNumberFormat="1" applyFont="1" applyFill="1" applyBorder="1"/>
    <xf numFmtId="10" fontId="24" fillId="24" borderId="40" xfId="0" applyNumberFormat="1" applyFont="1" applyFill="1" applyBorder="1"/>
    <xf numFmtId="10" fontId="24" fillId="25" borderId="40" xfId="0" applyNumberFormat="1" applyFont="1" applyFill="1" applyBorder="1"/>
    <xf numFmtId="10" fontId="24" fillId="13" borderId="40" xfId="0" applyNumberFormat="1" applyFont="1" applyFill="1" applyBorder="1"/>
    <xf numFmtId="10" fontId="24" fillId="26" borderId="40" xfId="0" applyNumberFormat="1" applyFont="1" applyFill="1" applyBorder="1"/>
    <xf numFmtId="10" fontId="24" fillId="27" borderId="40" xfId="0" applyNumberFormat="1" applyFont="1" applyFill="1" applyBorder="1"/>
    <xf numFmtId="10" fontId="24" fillId="18" borderId="40" xfId="0" applyNumberFormat="1" applyFont="1" applyFill="1" applyBorder="1"/>
    <xf numFmtId="10" fontId="24" fillId="28" borderId="40" xfId="0" applyNumberFormat="1" applyFont="1" applyFill="1" applyBorder="1"/>
    <xf numFmtId="10" fontId="24" fillId="29" borderId="40" xfId="0" applyNumberFormat="1" applyFont="1" applyFill="1" applyBorder="1"/>
    <xf numFmtId="10" fontId="24" fillId="30" borderId="52" xfId="0" applyNumberFormat="1" applyFont="1" applyFill="1" applyBorder="1"/>
    <xf numFmtId="10" fontId="24" fillId="31" borderId="36" xfId="0" applyNumberFormat="1" applyFont="1" applyFill="1" applyBorder="1"/>
    <xf numFmtId="10" fontId="24" fillId="32" borderId="36" xfId="0" applyNumberFormat="1" applyFont="1" applyFill="1" applyBorder="1"/>
    <xf numFmtId="10" fontId="24" fillId="33" borderId="36" xfId="0" applyNumberFormat="1" applyFont="1" applyFill="1" applyBorder="1"/>
    <xf numFmtId="10" fontId="24" fillId="34" borderId="36" xfId="0" applyNumberFormat="1" applyFont="1" applyFill="1" applyBorder="1"/>
    <xf numFmtId="10" fontId="24" fillId="23" borderId="36" xfId="0" applyNumberFormat="1" applyFont="1" applyFill="1" applyBorder="1"/>
    <xf numFmtId="10" fontId="24" fillId="35" borderId="36" xfId="0" applyNumberFormat="1" applyFont="1" applyFill="1" applyBorder="1"/>
    <xf numFmtId="10" fontId="24" fillId="28" borderId="36" xfId="0" applyNumberFormat="1" applyFont="1" applyFill="1" applyBorder="1"/>
    <xf numFmtId="10" fontId="24" fillId="36" borderId="36" xfId="0" applyNumberFormat="1" applyFont="1" applyFill="1" applyBorder="1"/>
    <xf numFmtId="10" fontId="24" fillId="37" borderId="46" xfId="0" applyNumberFormat="1" applyFont="1" applyFill="1" applyBorder="1"/>
    <xf numFmtId="0" fontId="32" fillId="9" borderId="53" xfId="0" applyFont="1" applyFill="1" applyBorder="1"/>
    <xf numFmtId="10" fontId="24" fillId="38" borderId="36" xfId="0" applyNumberFormat="1" applyFont="1" applyFill="1" applyBorder="1"/>
    <xf numFmtId="10" fontId="24" fillId="39" borderId="36" xfId="0" applyNumberFormat="1" applyFont="1" applyFill="1" applyBorder="1"/>
    <xf numFmtId="10" fontId="24" fillId="40" borderId="36" xfId="0" applyNumberFormat="1" applyFont="1" applyFill="1" applyBorder="1"/>
    <xf numFmtId="10" fontId="24" fillId="41" borderId="36" xfId="0" applyNumberFormat="1" applyFont="1" applyFill="1" applyBorder="1"/>
    <xf numFmtId="10" fontId="24" fillId="42" borderId="36" xfId="0" applyNumberFormat="1" applyFont="1" applyFill="1" applyBorder="1"/>
    <xf numFmtId="10" fontId="24" fillId="43" borderId="36" xfId="0" applyNumberFormat="1" applyFont="1" applyFill="1" applyBorder="1"/>
    <xf numFmtId="10" fontId="24" fillId="44" borderId="36" xfId="0" applyNumberFormat="1" applyFont="1" applyFill="1" applyBorder="1"/>
    <xf numFmtId="10" fontId="24" fillId="45" borderId="36" xfId="0" applyNumberFormat="1" applyFont="1" applyFill="1" applyBorder="1"/>
    <xf numFmtId="10" fontId="24" fillId="46" borderId="46" xfId="0" applyNumberFormat="1" applyFont="1" applyFill="1" applyBorder="1"/>
    <xf numFmtId="0" fontId="33" fillId="9" borderId="53" xfId="0" applyFont="1" applyFill="1" applyBorder="1"/>
    <xf numFmtId="10" fontId="24" fillId="47" borderId="36" xfId="0" applyNumberFormat="1" applyFont="1" applyFill="1" applyBorder="1"/>
    <xf numFmtId="10" fontId="24" fillId="48" borderId="36" xfId="0" applyNumberFormat="1" applyFont="1" applyFill="1" applyBorder="1"/>
    <xf numFmtId="10" fontId="24" fillId="49" borderId="36" xfId="0" applyNumberFormat="1" applyFont="1" applyFill="1" applyBorder="1"/>
    <xf numFmtId="10" fontId="24" fillId="50" borderId="36" xfId="0" applyNumberFormat="1" applyFont="1" applyFill="1" applyBorder="1"/>
    <xf numFmtId="10" fontId="24" fillId="51" borderId="36" xfId="0" applyNumberFormat="1" applyFont="1" applyFill="1" applyBorder="1"/>
    <xf numFmtId="10" fontId="24" fillId="52" borderId="46" xfId="0" applyNumberFormat="1" applyFont="1" applyFill="1" applyBorder="1"/>
    <xf numFmtId="10" fontId="24" fillId="53" borderId="36" xfId="0" applyNumberFormat="1" applyFont="1" applyFill="1" applyBorder="1"/>
    <xf numFmtId="10" fontId="24" fillId="54" borderId="36" xfId="0" applyNumberFormat="1" applyFont="1" applyFill="1" applyBorder="1"/>
    <xf numFmtId="10" fontId="24" fillId="55" borderId="36" xfId="0" applyNumberFormat="1" applyFont="1" applyFill="1" applyBorder="1"/>
    <xf numFmtId="10" fontId="24" fillId="56" borderId="36" xfId="0" applyNumberFormat="1" applyFont="1" applyFill="1" applyBorder="1"/>
    <xf numFmtId="10" fontId="24" fillId="57" borderId="36" xfId="0" applyNumberFormat="1" applyFont="1" applyFill="1" applyBorder="1"/>
    <xf numFmtId="10" fontId="24" fillId="58" borderId="36" xfId="0" applyNumberFormat="1" applyFont="1" applyFill="1" applyBorder="1"/>
    <xf numFmtId="10" fontId="24" fillId="59" borderId="36" xfId="0" applyNumberFormat="1" applyFont="1" applyFill="1" applyBorder="1"/>
    <xf numFmtId="10" fontId="24" fillId="60" borderId="46" xfId="0" applyNumberFormat="1" applyFont="1" applyFill="1" applyBorder="1"/>
    <xf numFmtId="10" fontId="24" fillId="61" borderId="36" xfId="0" applyNumberFormat="1" applyFont="1" applyFill="1" applyBorder="1"/>
    <xf numFmtId="10" fontId="24" fillId="62" borderId="36" xfId="0" applyNumberFormat="1" applyFont="1" applyFill="1" applyBorder="1"/>
    <xf numFmtId="10" fontId="24" fillId="63" borderId="36" xfId="0" applyNumberFormat="1" applyFont="1" applyFill="1" applyBorder="1"/>
    <xf numFmtId="10" fontId="24" fillId="64" borderId="36" xfId="0" applyNumberFormat="1" applyFont="1" applyFill="1" applyBorder="1"/>
    <xf numFmtId="10" fontId="24" fillId="65" borderId="36" xfId="0" applyNumberFormat="1" applyFont="1" applyFill="1" applyBorder="1"/>
    <xf numFmtId="10" fontId="24" fillId="29" borderId="36" xfId="0" applyNumberFormat="1" applyFont="1" applyFill="1" applyBorder="1"/>
    <xf numFmtId="10" fontId="24" fillId="11" borderId="46" xfId="0" applyNumberFormat="1" applyFont="1" applyFill="1" applyBorder="1"/>
    <xf numFmtId="0" fontId="13" fillId="4" borderId="13" xfId="0" applyFont="1" applyFill="1" applyBorder="1" applyAlignment="1">
      <alignment horizontal="center" vertical="center"/>
    </xf>
    <xf numFmtId="0" fontId="13" fillId="4" borderId="0" xfId="0" applyFont="1" applyFill="1" applyAlignment="1">
      <alignment horizontal="center" vertical="center"/>
    </xf>
    <xf numFmtId="0" fontId="13" fillId="4" borderId="21" xfId="0" applyFont="1" applyFill="1" applyBorder="1" applyAlignment="1">
      <alignment horizontal="center" vertical="center"/>
    </xf>
    <xf numFmtId="0" fontId="1" fillId="0" borderId="0" xfId="0" applyFont="1" applyFill="1" applyAlignment="1">
      <alignment horizontal="center"/>
    </xf>
  </cellXfs>
  <cellStyles count="1">
    <cellStyle name="Normal" xfId="0" builtinId="0"/>
  </cellStyles>
  <dxfs count="73">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color rgb="FF000000"/>
      </font>
      <numFmt numFmtId="14" formatCode="0.00%"/>
      <fill>
        <patternFill patternType="solid">
          <fgColor indexed="64"/>
          <bgColor rgb="FFFFFFFF"/>
        </patternFill>
      </fill>
      <alignment horizont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color rgb="FF000000"/>
      </font>
      <numFmt numFmtId="14" formatCode="0.00%"/>
      <fill>
        <patternFill patternType="solid">
          <fgColor indexed="64"/>
          <bgColor rgb="FFFFFFFF"/>
        </patternFill>
      </fill>
      <alignment horizont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color rgb="FF006D77"/>
      </font>
      <fill>
        <patternFill patternType="solid">
          <fgColor indexed="64"/>
          <bgColor rgb="FFFFFFFF"/>
        </patternFill>
      </fill>
      <alignment horizontal="center"/>
      <border diagonalUp="0" diagonalDown="0">
        <left/>
        <right style="thin">
          <color rgb="FFD9D9D9"/>
        </right>
        <top style="thin">
          <color rgb="FFD9D9D9"/>
        </top>
        <bottom style="thin">
          <color rgb="FFD9D9D9"/>
        </bottom>
        <vertical style="thin">
          <color rgb="FFD9D9D9"/>
        </vertical>
        <horizontal style="thin">
          <color rgb="FFD9D9D9"/>
        </horizontal>
      </border>
    </dxf>
    <dxf>
      <border>
        <top style="thin">
          <color rgb="FFD9D9D9"/>
        </top>
      </border>
    </dxf>
    <dxf>
      <border>
        <bottom style="thin">
          <color rgb="FFD9D9D9"/>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rgb="FFD9D9D9"/>
        </left>
        <right style="thin">
          <color rgb="FFD9D9D9"/>
        </right>
        <top/>
        <bottom/>
        <vertical style="thin">
          <color rgb="FFD9D9D9"/>
        </vertical>
        <horizontal style="thin">
          <color rgb="FFD9D9D9"/>
        </horizontal>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4"/>
        </patternFill>
      </fill>
      <alignment horizontal="center" vertical="bottom" textRotation="0" wrapText="0" indent="0" justifyLastLine="0" shrinkToFit="0" readingOrder="0"/>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color rgb="FF000000"/>
      </font>
      <numFmt numFmtId="14" formatCode="0.00%"/>
      <fill>
        <patternFill patternType="solid">
          <fgColor indexed="64"/>
          <bgColor rgb="FFFFFFFF"/>
        </patternFill>
      </fill>
      <alignment horizont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color rgb="FF000000"/>
      </font>
      <numFmt numFmtId="14" formatCode="0.00%"/>
      <fill>
        <patternFill patternType="solid">
          <fgColor indexed="64"/>
          <bgColor rgb="FFFFFFFF"/>
        </patternFill>
      </fill>
      <alignment horizontal="center"/>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val="0"/>
        <i val="0"/>
        <strike val="0"/>
        <condense val="0"/>
        <extend val="0"/>
        <outline val="0"/>
        <shadow val="0"/>
        <u val="none"/>
        <vertAlign val="baseline"/>
        <sz val="11"/>
        <color rgb="FF000000"/>
        <name val="Calibri"/>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style="thin">
          <color rgb="FFD9D9D9"/>
        </vertical>
        <horizontal style="thin">
          <color rgb="FFD9D9D9"/>
        </horizontal>
      </border>
    </dxf>
    <dxf>
      <font>
        <b/>
        <color rgb="FF006D77"/>
      </font>
      <fill>
        <patternFill patternType="solid">
          <fgColor indexed="64"/>
          <bgColor rgb="FFFFFFFF"/>
        </patternFill>
      </fill>
      <alignment horizontal="left"/>
      <border diagonalUp="0" diagonalDown="0">
        <left/>
        <right style="thin">
          <color rgb="FFD9D9D9"/>
        </right>
        <top style="thin">
          <color rgb="FFD9D9D9"/>
        </top>
        <bottom style="thin">
          <color rgb="FFD9D9D9"/>
        </bottom>
        <vertical style="thin">
          <color rgb="FFD9D9D9"/>
        </vertical>
        <horizontal style="thin">
          <color rgb="FFD9D9D9"/>
        </horizontal>
      </border>
    </dxf>
    <dxf>
      <border>
        <top style="thin">
          <color rgb="FFD9D9D9"/>
        </top>
      </border>
    </dxf>
    <dxf>
      <border>
        <bottom style="thin">
          <color rgb="FFD9D9D9"/>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A9396"/>
        </patternFill>
      </fill>
      <alignment horizontal="center" vertical="center" textRotation="0" wrapText="0" indent="0" justifyLastLine="0" shrinkToFit="0" readingOrder="0"/>
      <border diagonalUp="0" diagonalDown="0">
        <left style="thin">
          <color rgb="FFD9D9D9"/>
        </left>
        <right style="thin">
          <color rgb="FFD9D9D9"/>
        </right>
        <top/>
        <bottom/>
        <vertical style="thin">
          <color rgb="FFD9D9D9"/>
        </vertical>
        <horizontal style="thin">
          <color rgb="FFD9D9D9"/>
        </horizontal>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i/>
      </font>
      <alignment horizontal="center" vertical="bottom" textRotation="0" wrapText="0" indent="0" justifyLastLine="0" shrinkToFit="0" readingOrder="0"/>
    </dxf>
    <dxf>
      <font>
        <b/>
        <i val="0"/>
        <strike val="0"/>
        <condense val="0"/>
        <extend val="0"/>
        <outline val="0"/>
        <shadow val="0"/>
        <u val="none"/>
        <vertAlign val="baseline"/>
        <sz val="11"/>
        <color rgb="FF006D77"/>
        <name val="Calibri"/>
        <family val="2"/>
        <scheme val="minor"/>
      </font>
      <alignment horizontal="left" vertical="bottom" textRotation="0" wrapText="0" indent="0" justifyLastLine="0" shrinkToFit="0" readingOrder="0"/>
    </dxf>
    <dxf>
      <border>
        <bottom style="thick">
          <color rgb="FF0A9396"/>
        </bottom>
      </border>
    </dxf>
    <dxf>
      <border diagonalUp="0" diagonalDown="0">
        <left style="medium">
          <color rgb="FF006D77"/>
        </left>
        <right style="medium">
          <color rgb="FF006D77"/>
        </right>
        <top style="medium">
          <color rgb="FF006D77"/>
        </top>
        <bottom style="medium">
          <color rgb="FF006D77"/>
        </bottom>
      </border>
    </dxf>
    <dxf>
      <alignment horizontal="center" vertical="bottom" textRotation="0" wrapText="0"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indexed="64"/>
          <bgColor rgb="FF0A9396"/>
        </patternFill>
      </fill>
      <alignment horizontal="center" vertical="bottom" textRotation="0" wrapText="0" indent="0" justifyLastLine="0" shrinkToFit="0" readingOrder="0"/>
    </dxf>
    <dxf>
      <font>
        <color theme="5"/>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2400E"/>
      </font>
      <fill>
        <patternFill patternType="solid">
          <fgColor indexed="64"/>
          <bgColor rgb="FFFEF3C7"/>
        </patternFill>
      </fill>
    </dxf>
    <dxf>
      <font>
        <b/>
        <i val="0"/>
        <color rgb="FF166534"/>
      </font>
      <fill>
        <patternFill patternType="solid">
          <fgColor indexed="64"/>
          <bgColor rgb="FFC6F6D5"/>
        </patternFill>
      </fill>
    </dxf>
    <dxf>
      <font>
        <color theme="5"/>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Port'!$I$62:$J$62</c:f>
              <c:strCache>
                <c:ptCount val="2"/>
                <c:pt idx="0">
                  <c:v>WIND(m/s)</c:v>
                </c:pt>
                <c:pt idx="1">
                  <c:v>MAX</c:v>
                </c:pt>
              </c:strCache>
            </c:strRef>
          </c:tx>
          <c:spPr>
            <a:solidFill>
              <a:schemeClr val="accent1"/>
            </a:solidFill>
            <a:ln>
              <a:noFill/>
            </a:ln>
            <a:effectLst/>
          </c:spPr>
          <c:invertIfNegative val="0"/>
          <c:cat>
            <c:strRef>
              <c:f>'Musaffah Port'!$K$61:$N$61</c:f>
              <c:strCache>
                <c:ptCount val="4"/>
                <c:pt idx="0">
                  <c:v>Monsoon</c:v>
                </c:pt>
                <c:pt idx="1">
                  <c:v>Post-monsoon</c:v>
                </c:pt>
                <c:pt idx="2">
                  <c:v>pre-monsoon</c:v>
                </c:pt>
                <c:pt idx="3">
                  <c:v>Winter</c:v>
                </c:pt>
              </c:strCache>
            </c:strRef>
          </c:cat>
          <c:val>
            <c:numRef>
              <c:f>'Musaffah Port'!$K$62:$N$62</c:f>
              <c:numCache>
                <c:formatCode>General</c:formatCode>
                <c:ptCount val="4"/>
                <c:pt idx="0">
                  <c:v>12.11</c:v>
                </c:pt>
                <c:pt idx="1">
                  <c:v>10.67</c:v>
                </c:pt>
                <c:pt idx="2">
                  <c:v>12.82</c:v>
                </c:pt>
                <c:pt idx="3">
                  <c:v>12.96</c:v>
                </c:pt>
              </c:numCache>
            </c:numRef>
          </c:val>
          <c:extLst>
            <c:ext xmlns:c16="http://schemas.microsoft.com/office/drawing/2014/chart" uri="{C3380CC4-5D6E-409C-BE32-E72D297353CC}">
              <c16:uniqueId val="{00000000-F5B4-41BA-9F53-461B62D08D93}"/>
            </c:ext>
          </c:extLst>
        </c:ser>
        <c:dLbls>
          <c:showLegendKey val="0"/>
          <c:showVal val="0"/>
          <c:showCatName val="0"/>
          <c:showSerName val="0"/>
          <c:showPercent val="0"/>
          <c:showBubbleSize val="0"/>
        </c:dLbls>
        <c:gapWidth val="219"/>
        <c:overlap val="-27"/>
        <c:axId val="1745740808"/>
        <c:axId val="2072000008"/>
      </c:barChart>
      <c:catAx>
        <c:axId val="1745740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0008"/>
        <c:crosses val="autoZero"/>
        <c:auto val="1"/>
        <c:lblAlgn val="ctr"/>
        <c:lblOffset val="100"/>
        <c:noMultiLvlLbl val="0"/>
      </c:catAx>
      <c:valAx>
        <c:axId val="2072000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40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Port'!$I$67:$J$67</c:f>
              <c:strCache>
                <c:ptCount val="2"/>
                <c:pt idx="0">
                  <c:v>OCEAN_CURR(m/s)</c:v>
                </c:pt>
                <c:pt idx="1">
                  <c:v>MAX</c:v>
                </c:pt>
              </c:strCache>
            </c:strRef>
          </c:tx>
          <c:spPr>
            <a:solidFill>
              <a:schemeClr val="accent1"/>
            </a:solidFill>
            <a:ln>
              <a:noFill/>
            </a:ln>
            <a:effectLst/>
          </c:spPr>
          <c:invertIfNegative val="0"/>
          <c:cat>
            <c:strRef>
              <c:f>'Musaffah Port'!$K$66:$N$66</c:f>
              <c:strCache>
                <c:ptCount val="4"/>
                <c:pt idx="0">
                  <c:v>Monsoon</c:v>
                </c:pt>
                <c:pt idx="1">
                  <c:v>Post-monsoon</c:v>
                </c:pt>
                <c:pt idx="2">
                  <c:v>pre-monsoon</c:v>
                </c:pt>
                <c:pt idx="3">
                  <c:v>Winter</c:v>
                </c:pt>
              </c:strCache>
            </c:strRef>
          </c:cat>
          <c:val>
            <c:numRef>
              <c:f>'Musaffah Port'!$K$67:$N$67</c:f>
              <c:numCache>
                <c:formatCode>General</c:formatCode>
                <c:ptCount val="4"/>
                <c:pt idx="0">
                  <c:v>0.18</c:v>
                </c:pt>
                <c:pt idx="1">
                  <c:v>0.15</c:v>
                </c:pt>
                <c:pt idx="2">
                  <c:v>0.19</c:v>
                </c:pt>
                <c:pt idx="3">
                  <c:v>0.17</c:v>
                </c:pt>
              </c:numCache>
            </c:numRef>
          </c:val>
          <c:extLst>
            <c:ext xmlns:c16="http://schemas.microsoft.com/office/drawing/2014/chart" uri="{C3380CC4-5D6E-409C-BE32-E72D297353CC}">
              <c16:uniqueId val="{00000000-76F8-40E0-A128-9E529F94B4A1}"/>
            </c:ext>
          </c:extLst>
        </c:ser>
        <c:dLbls>
          <c:showLegendKey val="0"/>
          <c:showVal val="0"/>
          <c:showCatName val="0"/>
          <c:showSerName val="0"/>
          <c:showPercent val="0"/>
          <c:showBubbleSize val="0"/>
        </c:dLbls>
        <c:gapWidth val="219"/>
        <c:overlap val="-27"/>
        <c:axId val="1015084040"/>
        <c:axId val="1015086088"/>
      </c:barChart>
      <c:catAx>
        <c:axId val="1015084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86088"/>
        <c:crosses val="autoZero"/>
        <c:auto val="1"/>
        <c:lblAlgn val="ctr"/>
        <c:lblOffset val="100"/>
        <c:noMultiLvlLbl val="0"/>
      </c:catAx>
      <c:valAx>
        <c:axId val="1015086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084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Port'!$I$72:$J$72</c:f>
              <c:strCache>
                <c:ptCount val="2"/>
                <c:pt idx="0">
                  <c:v>WAVE_T(s)</c:v>
                </c:pt>
                <c:pt idx="1">
                  <c:v>MAX</c:v>
                </c:pt>
              </c:strCache>
            </c:strRef>
          </c:tx>
          <c:spPr>
            <a:solidFill>
              <a:schemeClr val="accent1"/>
            </a:solidFill>
            <a:ln>
              <a:noFill/>
            </a:ln>
            <a:effectLst/>
          </c:spPr>
          <c:invertIfNegative val="0"/>
          <c:cat>
            <c:strRef>
              <c:f>'Musaffah Port'!$K$71:$N$71</c:f>
              <c:strCache>
                <c:ptCount val="4"/>
                <c:pt idx="0">
                  <c:v>Monsoon</c:v>
                </c:pt>
                <c:pt idx="1">
                  <c:v>Post-monsoon</c:v>
                </c:pt>
                <c:pt idx="2">
                  <c:v>pre-monsoon</c:v>
                </c:pt>
                <c:pt idx="3">
                  <c:v>Winter</c:v>
                </c:pt>
              </c:strCache>
            </c:strRef>
          </c:cat>
          <c:val>
            <c:numRef>
              <c:f>'Musaffah Port'!$K$72:$N$72</c:f>
              <c:numCache>
                <c:formatCode>General</c:formatCode>
                <c:ptCount val="4"/>
                <c:pt idx="0">
                  <c:v>7.92</c:v>
                </c:pt>
                <c:pt idx="1">
                  <c:v>8.23</c:v>
                </c:pt>
                <c:pt idx="2">
                  <c:v>8.27</c:v>
                </c:pt>
                <c:pt idx="3">
                  <c:v>8.35</c:v>
                </c:pt>
              </c:numCache>
            </c:numRef>
          </c:val>
          <c:extLst>
            <c:ext xmlns:c16="http://schemas.microsoft.com/office/drawing/2014/chart" uri="{C3380CC4-5D6E-409C-BE32-E72D297353CC}">
              <c16:uniqueId val="{00000000-754E-4A3A-914B-F0FCDF54CA54}"/>
            </c:ext>
          </c:extLst>
        </c:ser>
        <c:ser>
          <c:idx val="1"/>
          <c:order val="1"/>
          <c:tx>
            <c:strRef>
              <c:f>'Musaffah Port'!$I$73:$J$73</c:f>
              <c:strCache>
                <c:ptCount val="2"/>
                <c:pt idx="0">
                  <c:v>SWELL_T(s)</c:v>
                </c:pt>
                <c:pt idx="1">
                  <c:v>MAX</c:v>
                </c:pt>
              </c:strCache>
            </c:strRef>
          </c:tx>
          <c:spPr>
            <a:solidFill>
              <a:schemeClr val="accent2"/>
            </a:solidFill>
            <a:ln>
              <a:noFill/>
            </a:ln>
            <a:effectLst/>
          </c:spPr>
          <c:invertIfNegative val="0"/>
          <c:cat>
            <c:strRef>
              <c:f>'Musaffah Port'!$K$71:$N$71</c:f>
              <c:strCache>
                <c:ptCount val="4"/>
                <c:pt idx="0">
                  <c:v>Monsoon</c:v>
                </c:pt>
                <c:pt idx="1">
                  <c:v>Post-monsoon</c:v>
                </c:pt>
                <c:pt idx="2">
                  <c:v>pre-monsoon</c:v>
                </c:pt>
                <c:pt idx="3">
                  <c:v>Winter</c:v>
                </c:pt>
              </c:strCache>
            </c:strRef>
          </c:cat>
          <c:val>
            <c:numRef>
              <c:f>'Musaffah Port'!$K$73:$N$73</c:f>
              <c:numCache>
                <c:formatCode>General</c:formatCode>
                <c:ptCount val="4"/>
                <c:pt idx="0">
                  <c:v>7.3</c:v>
                </c:pt>
                <c:pt idx="1">
                  <c:v>8.08</c:v>
                </c:pt>
                <c:pt idx="2">
                  <c:v>8.42</c:v>
                </c:pt>
                <c:pt idx="3">
                  <c:v>8.36</c:v>
                </c:pt>
              </c:numCache>
            </c:numRef>
          </c:val>
          <c:extLst>
            <c:ext xmlns:c16="http://schemas.microsoft.com/office/drawing/2014/chart" uri="{C3380CC4-5D6E-409C-BE32-E72D297353CC}">
              <c16:uniqueId val="{00000002-754E-4A3A-914B-F0FCDF54CA54}"/>
            </c:ext>
          </c:extLst>
        </c:ser>
        <c:dLbls>
          <c:showLegendKey val="0"/>
          <c:showVal val="0"/>
          <c:showCatName val="0"/>
          <c:showSerName val="0"/>
          <c:showPercent val="0"/>
          <c:showBubbleSize val="0"/>
        </c:dLbls>
        <c:gapWidth val="219"/>
        <c:overlap val="-27"/>
        <c:axId val="1745734152"/>
        <c:axId val="2072015368"/>
      </c:barChart>
      <c:catAx>
        <c:axId val="1745734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15368"/>
        <c:crosses val="autoZero"/>
        <c:auto val="1"/>
        <c:lblAlgn val="ctr"/>
        <c:lblOffset val="100"/>
        <c:noMultiLvlLbl val="0"/>
      </c:catAx>
      <c:valAx>
        <c:axId val="2072015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34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Port'!$I$79:$J$79</c:f>
              <c:strCache>
                <c:ptCount val="2"/>
                <c:pt idx="0">
                  <c:v>WAVE_H(m)</c:v>
                </c:pt>
                <c:pt idx="1">
                  <c:v>MAX</c:v>
                </c:pt>
              </c:strCache>
            </c:strRef>
          </c:tx>
          <c:spPr>
            <a:solidFill>
              <a:schemeClr val="accent1"/>
            </a:solidFill>
            <a:ln>
              <a:noFill/>
            </a:ln>
            <a:effectLst/>
          </c:spPr>
          <c:invertIfNegative val="0"/>
          <c:cat>
            <c:strRef>
              <c:f>'Musaffah Port'!$K$78:$N$78</c:f>
              <c:strCache>
                <c:ptCount val="4"/>
                <c:pt idx="0">
                  <c:v>Monsoon</c:v>
                </c:pt>
                <c:pt idx="1">
                  <c:v>Post-monsoon</c:v>
                </c:pt>
                <c:pt idx="2">
                  <c:v>pre-monsoon</c:v>
                </c:pt>
                <c:pt idx="3">
                  <c:v>Winter</c:v>
                </c:pt>
              </c:strCache>
            </c:strRef>
          </c:cat>
          <c:val>
            <c:numRef>
              <c:f>'Musaffah Port'!$K$79:$N$79</c:f>
              <c:numCache>
                <c:formatCode>General</c:formatCode>
                <c:ptCount val="4"/>
                <c:pt idx="0">
                  <c:v>1.25</c:v>
                </c:pt>
                <c:pt idx="1">
                  <c:v>1.27</c:v>
                </c:pt>
                <c:pt idx="2">
                  <c:v>1.46</c:v>
                </c:pt>
                <c:pt idx="3">
                  <c:v>1.35</c:v>
                </c:pt>
              </c:numCache>
            </c:numRef>
          </c:val>
          <c:extLst>
            <c:ext xmlns:c16="http://schemas.microsoft.com/office/drawing/2014/chart" uri="{C3380CC4-5D6E-409C-BE32-E72D297353CC}">
              <c16:uniqueId val="{00000000-6E0C-4E5A-BD85-27AA32A49CD4}"/>
            </c:ext>
          </c:extLst>
        </c:ser>
        <c:ser>
          <c:idx val="1"/>
          <c:order val="1"/>
          <c:tx>
            <c:strRef>
              <c:f>'Musaffah Port'!$I$80:$J$80</c:f>
              <c:strCache>
                <c:ptCount val="2"/>
                <c:pt idx="0">
                  <c:v>SWELL_H(m)</c:v>
                </c:pt>
                <c:pt idx="1">
                  <c:v>MAX</c:v>
                </c:pt>
              </c:strCache>
            </c:strRef>
          </c:tx>
          <c:spPr>
            <a:solidFill>
              <a:schemeClr val="accent2"/>
            </a:solidFill>
            <a:ln>
              <a:noFill/>
            </a:ln>
            <a:effectLst/>
          </c:spPr>
          <c:invertIfNegative val="0"/>
          <c:cat>
            <c:strRef>
              <c:f>'Musaffah Port'!$K$78:$N$78</c:f>
              <c:strCache>
                <c:ptCount val="4"/>
                <c:pt idx="0">
                  <c:v>Monsoon</c:v>
                </c:pt>
                <c:pt idx="1">
                  <c:v>Post-monsoon</c:v>
                </c:pt>
                <c:pt idx="2">
                  <c:v>pre-monsoon</c:v>
                </c:pt>
                <c:pt idx="3">
                  <c:v>Winter</c:v>
                </c:pt>
              </c:strCache>
            </c:strRef>
          </c:cat>
          <c:val>
            <c:numRef>
              <c:f>'Musaffah Port'!$K$80:$N$80</c:f>
              <c:numCache>
                <c:formatCode>General</c:formatCode>
                <c:ptCount val="4"/>
                <c:pt idx="0">
                  <c:v>0.67</c:v>
                </c:pt>
                <c:pt idx="1">
                  <c:v>0.79</c:v>
                </c:pt>
                <c:pt idx="2">
                  <c:v>0.78</c:v>
                </c:pt>
                <c:pt idx="3">
                  <c:v>0.81</c:v>
                </c:pt>
              </c:numCache>
            </c:numRef>
          </c:val>
          <c:extLst>
            <c:ext xmlns:c16="http://schemas.microsoft.com/office/drawing/2014/chart" uri="{C3380CC4-5D6E-409C-BE32-E72D297353CC}">
              <c16:uniqueId val="{00000002-6E0C-4E5A-BD85-27AA32A49CD4}"/>
            </c:ext>
          </c:extLst>
        </c:ser>
        <c:ser>
          <c:idx val="2"/>
          <c:order val="2"/>
          <c:tx>
            <c:strRef>
              <c:f>'Musaffah Port'!$I$81:$J$81</c:f>
              <c:strCache>
                <c:ptCount val="2"/>
                <c:pt idx="0">
                  <c:v>STORM_SURGE(m)</c:v>
                </c:pt>
                <c:pt idx="1">
                  <c:v>MAX</c:v>
                </c:pt>
              </c:strCache>
            </c:strRef>
          </c:tx>
          <c:spPr>
            <a:solidFill>
              <a:schemeClr val="accent3"/>
            </a:solidFill>
            <a:ln>
              <a:noFill/>
            </a:ln>
            <a:effectLst/>
          </c:spPr>
          <c:invertIfNegative val="0"/>
          <c:cat>
            <c:strRef>
              <c:f>'Musaffah Port'!$K$78:$N$78</c:f>
              <c:strCache>
                <c:ptCount val="4"/>
                <c:pt idx="0">
                  <c:v>Monsoon</c:v>
                </c:pt>
                <c:pt idx="1">
                  <c:v>Post-monsoon</c:v>
                </c:pt>
                <c:pt idx="2">
                  <c:v>pre-monsoon</c:v>
                </c:pt>
                <c:pt idx="3">
                  <c:v>Winter</c:v>
                </c:pt>
              </c:strCache>
            </c:strRef>
          </c:cat>
          <c:val>
            <c:numRef>
              <c:f>'Musaffah Port'!$K$81:$N$81</c:f>
              <c:numCache>
                <c:formatCode>General</c:formatCode>
                <c:ptCount val="4"/>
                <c:pt idx="0">
                  <c:v>0.71</c:v>
                </c:pt>
                <c:pt idx="1">
                  <c:v>0.92</c:v>
                </c:pt>
                <c:pt idx="2">
                  <c:v>0.55000000000000004</c:v>
                </c:pt>
                <c:pt idx="3">
                  <c:v>0.65</c:v>
                </c:pt>
              </c:numCache>
            </c:numRef>
          </c:val>
          <c:extLst>
            <c:ext xmlns:c16="http://schemas.microsoft.com/office/drawing/2014/chart" uri="{C3380CC4-5D6E-409C-BE32-E72D297353CC}">
              <c16:uniqueId val="{00000004-6E0C-4E5A-BD85-27AA32A49CD4}"/>
            </c:ext>
          </c:extLst>
        </c:ser>
        <c:dLbls>
          <c:showLegendKey val="0"/>
          <c:showVal val="0"/>
          <c:showCatName val="0"/>
          <c:showSerName val="0"/>
          <c:showPercent val="0"/>
          <c:showBubbleSize val="0"/>
        </c:dLbls>
        <c:gapWidth val="219"/>
        <c:overlap val="-27"/>
        <c:axId val="8585223"/>
        <c:axId val="8587271"/>
      </c:barChart>
      <c:catAx>
        <c:axId val="8585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7271"/>
        <c:crosses val="autoZero"/>
        <c:auto val="1"/>
        <c:lblAlgn val="ctr"/>
        <c:lblOffset val="100"/>
        <c:noMultiLvlLbl val="0"/>
      </c:catAx>
      <c:valAx>
        <c:axId val="8587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5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Port'!$P$102</c:f>
              <c:strCache>
                <c:ptCount val="1"/>
                <c:pt idx="0">
                  <c:v>Wind(m/s) &gt; 7m/s</c:v>
                </c:pt>
              </c:strCache>
            </c:strRef>
          </c:tx>
          <c:spPr>
            <a:solidFill>
              <a:schemeClr val="accent1"/>
            </a:solidFill>
            <a:ln>
              <a:noFill/>
            </a:ln>
            <a:effectLst/>
          </c:spPr>
          <c:invertIfNegative val="0"/>
          <c:cat>
            <c:strRef>
              <c:f>'Musaffah Port'!$Q$101:$AB$101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Port'!$Q$102:$AB$102</c:f>
              <c:numCache>
                <c:formatCode>0.00%</c:formatCode>
                <c:ptCount val="12"/>
                <c:pt idx="0">
                  <c:v>5.3900000000000003E-2</c:v>
                </c:pt>
                <c:pt idx="1">
                  <c:v>9.1800000000000007E-2</c:v>
                </c:pt>
                <c:pt idx="2">
                  <c:v>0.1076</c:v>
                </c:pt>
                <c:pt idx="3">
                  <c:v>7.1900000000000006E-2</c:v>
                </c:pt>
                <c:pt idx="4">
                  <c:v>9.1499999999999998E-2</c:v>
                </c:pt>
                <c:pt idx="5">
                  <c:v>7.2099999999999997E-2</c:v>
                </c:pt>
                <c:pt idx="6">
                  <c:v>4.9099999999999998E-2</c:v>
                </c:pt>
                <c:pt idx="7">
                  <c:v>2.5999999999999999E-2</c:v>
                </c:pt>
                <c:pt idx="8">
                  <c:v>1.77E-2</c:v>
                </c:pt>
                <c:pt idx="9">
                  <c:v>8.0999999999999996E-3</c:v>
                </c:pt>
                <c:pt idx="10">
                  <c:v>2.0299999999999999E-2</c:v>
                </c:pt>
                <c:pt idx="11">
                  <c:v>2.8500000000000001E-2</c:v>
                </c:pt>
              </c:numCache>
            </c:numRef>
          </c:val>
          <c:extLst>
            <c:ext xmlns:c16="http://schemas.microsoft.com/office/drawing/2014/chart" uri="{C3380CC4-5D6E-409C-BE32-E72D297353CC}">
              <c16:uniqueId val="{00000000-6822-4A69-BC3C-00E64DDC5706}"/>
            </c:ext>
          </c:extLst>
        </c:ser>
        <c:ser>
          <c:idx val="1"/>
          <c:order val="1"/>
          <c:tx>
            <c:strRef>
              <c:f>'Musaffah Port'!$P$103</c:f>
              <c:strCache>
                <c:ptCount val="1"/>
                <c:pt idx="0">
                  <c:v>Ocean_Curr(m/s) &gt; 0.15m/s</c:v>
                </c:pt>
              </c:strCache>
            </c:strRef>
          </c:tx>
          <c:spPr>
            <a:solidFill>
              <a:schemeClr val="accent2"/>
            </a:solidFill>
            <a:ln>
              <a:noFill/>
            </a:ln>
            <a:effectLst/>
          </c:spPr>
          <c:invertIfNegative val="0"/>
          <c:cat>
            <c:strRef>
              <c:f>'Musaffah Port'!$Q$101:$AB$101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Port'!$Q$103:$AB$103</c:f>
              <c:numCache>
                <c:formatCode>0.00%</c:formatCode>
                <c:ptCount val="12"/>
                <c:pt idx="0">
                  <c:v>3.4200000000000001E-2</c:v>
                </c:pt>
                <c:pt idx="1">
                  <c:v>3.85E-2</c:v>
                </c:pt>
                <c:pt idx="2">
                  <c:v>4.4900000000000002E-2</c:v>
                </c:pt>
                <c:pt idx="3">
                  <c:v>6.8699999999999997E-2</c:v>
                </c:pt>
                <c:pt idx="4">
                  <c:v>0.1065</c:v>
                </c:pt>
                <c:pt idx="5">
                  <c:v>0.1515</c:v>
                </c:pt>
                <c:pt idx="6">
                  <c:v>0.13389999999999999</c:v>
                </c:pt>
                <c:pt idx="7">
                  <c:v>4.7899999999999998E-2</c:v>
                </c:pt>
                <c:pt idx="8">
                  <c:v>9.1000000000000004E-3</c:v>
                </c:pt>
                <c:pt idx="9">
                  <c:v>9.7999999999999997E-3</c:v>
                </c:pt>
                <c:pt idx="10">
                  <c:v>1.21E-2</c:v>
                </c:pt>
                <c:pt idx="11">
                  <c:v>2.2200000000000001E-2</c:v>
                </c:pt>
              </c:numCache>
            </c:numRef>
          </c:val>
          <c:extLst>
            <c:ext xmlns:c16="http://schemas.microsoft.com/office/drawing/2014/chart" uri="{C3380CC4-5D6E-409C-BE32-E72D297353CC}">
              <c16:uniqueId val="{00000002-6822-4A69-BC3C-00E64DDC5706}"/>
            </c:ext>
          </c:extLst>
        </c:ser>
        <c:dLbls>
          <c:showLegendKey val="0"/>
          <c:showVal val="0"/>
          <c:showCatName val="0"/>
          <c:showSerName val="0"/>
          <c:showPercent val="0"/>
          <c:showBubbleSize val="0"/>
        </c:dLbls>
        <c:gapWidth val="219"/>
        <c:overlap val="-27"/>
        <c:axId val="1869389319"/>
        <c:axId val="1869391367"/>
      </c:barChart>
      <c:catAx>
        <c:axId val="1869389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391367"/>
        <c:crosses val="autoZero"/>
        <c:auto val="1"/>
        <c:lblAlgn val="ctr"/>
        <c:lblOffset val="100"/>
        <c:noMultiLvlLbl val="0"/>
      </c:catAx>
      <c:valAx>
        <c:axId val="1869391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389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Port'!$P$109</c:f>
              <c:strCache>
                <c:ptCount val="1"/>
                <c:pt idx="0">
                  <c:v>Storm_Surge(m) &gt; 0.3m</c:v>
                </c:pt>
              </c:strCache>
            </c:strRef>
          </c:tx>
          <c:spPr>
            <a:solidFill>
              <a:schemeClr val="accent1"/>
            </a:solidFill>
            <a:ln>
              <a:noFill/>
            </a:ln>
            <a:effectLst/>
          </c:spPr>
          <c:invertIfNegative val="0"/>
          <c:cat>
            <c:numRef>
              <c:f>'Musaffah Port'!$Q$111:$AB$111</c:f>
              <c:numCache>
                <c:formatCode>General</c:formatCode>
                <c:ptCount val="12"/>
              </c:numCache>
            </c:numRef>
          </c:cat>
          <c:val>
            <c:numRef>
              <c:f>'Musaffah Port'!$Q$109:$AB$109</c:f>
              <c:numCache>
                <c:formatCode>0.00%</c:formatCode>
                <c:ptCount val="12"/>
                <c:pt idx="0">
                  <c:v>0.11210000000000001</c:v>
                </c:pt>
                <c:pt idx="1">
                  <c:v>6.5799999999999997E-2</c:v>
                </c:pt>
                <c:pt idx="2">
                  <c:v>2.46E-2</c:v>
                </c:pt>
                <c:pt idx="3">
                  <c:v>6.3E-3</c:v>
                </c:pt>
                <c:pt idx="4">
                  <c:v>9.1999999999999998E-3</c:v>
                </c:pt>
                <c:pt idx="5">
                  <c:v>3.2000000000000002E-3</c:v>
                </c:pt>
                <c:pt idx="6">
                  <c:v>1.5E-3</c:v>
                </c:pt>
                <c:pt idx="7">
                  <c:v>6.1000000000000004E-3</c:v>
                </c:pt>
                <c:pt idx="8">
                  <c:v>0.1143</c:v>
                </c:pt>
                <c:pt idx="9">
                  <c:v>0.36409999999999998</c:v>
                </c:pt>
                <c:pt idx="10">
                  <c:v>0.27139999999999997</c:v>
                </c:pt>
                <c:pt idx="11">
                  <c:v>0.21809999999999999</c:v>
                </c:pt>
              </c:numCache>
            </c:numRef>
          </c:val>
          <c:extLst>
            <c:ext xmlns:c16="http://schemas.microsoft.com/office/drawing/2014/chart" uri="{C3380CC4-5D6E-409C-BE32-E72D297353CC}">
              <c16:uniqueId val="{00000000-CD79-40AD-A353-5FECA39C6BAC}"/>
            </c:ext>
          </c:extLst>
        </c:ser>
        <c:dLbls>
          <c:showLegendKey val="0"/>
          <c:showVal val="0"/>
          <c:showCatName val="0"/>
          <c:showSerName val="0"/>
          <c:showPercent val="0"/>
          <c:showBubbleSize val="0"/>
        </c:dLbls>
        <c:gapWidth val="219"/>
        <c:overlap val="-27"/>
        <c:axId val="1892964359"/>
        <c:axId val="1892970503"/>
      </c:barChart>
      <c:catAx>
        <c:axId val="1892964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70503"/>
        <c:crosses val="autoZero"/>
        <c:auto val="1"/>
        <c:lblAlgn val="ctr"/>
        <c:lblOffset val="100"/>
        <c:noMultiLvlLbl val="0"/>
      </c:catAx>
      <c:valAx>
        <c:axId val="18929705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64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Port'!$P$102</c:f>
              <c:strCache>
                <c:ptCount val="1"/>
                <c:pt idx="0">
                  <c:v>Wind(m/s) &gt; 7m/s</c:v>
                </c:pt>
              </c:strCache>
            </c:strRef>
          </c:tx>
          <c:spPr>
            <a:solidFill>
              <a:schemeClr val="accent1"/>
            </a:solidFill>
            <a:ln>
              <a:noFill/>
            </a:ln>
            <a:effectLst/>
          </c:spPr>
          <c:invertIfNegative val="0"/>
          <c:cat>
            <c:strRef>
              <c:f>'Musaffah Port'!$Q$101:$AB$101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Port'!$Q$102:$AB$102</c:f>
              <c:numCache>
                <c:formatCode>0.00%</c:formatCode>
                <c:ptCount val="12"/>
                <c:pt idx="0">
                  <c:v>5.3900000000000003E-2</c:v>
                </c:pt>
                <c:pt idx="1">
                  <c:v>9.1800000000000007E-2</c:v>
                </c:pt>
                <c:pt idx="2">
                  <c:v>0.1076</c:v>
                </c:pt>
                <c:pt idx="3">
                  <c:v>7.1900000000000006E-2</c:v>
                </c:pt>
                <c:pt idx="4">
                  <c:v>9.1499999999999998E-2</c:v>
                </c:pt>
                <c:pt idx="5">
                  <c:v>7.2099999999999997E-2</c:v>
                </c:pt>
                <c:pt idx="6">
                  <c:v>4.9099999999999998E-2</c:v>
                </c:pt>
                <c:pt idx="7">
                  <c:v>2.5999999999999999E-2</c:v>
                </c:pt>
                <c:pt idx="8">
                  <c:v>1.77E-2</c:v>
                </c:pt>
                <c:pt idx="9">
                  <c:v>8.0999999999999996E-3</c:v>
                </c:pt>
                <c:pt idx="10">
                  <c:v>2.0299999999999999E-2</c:v>
                </c:pt>
                <c:pt idx="11">
                  <c:v>2.8500000000000001E-2</c:v>
                </c:pt>
              </c:numCache>
            </c:numRef>
          </c:val>
          <c:extLst>
            <c:ext xmlns:c16="http://schemas.microsoft.com/office/drawing/2014/chart" uri="{C3380CC4-5D6E-409C-BE32-E72D297353CC}">
              <c16:uniqueId val="{00000000-4FBF-40EF-B4C9-ABD797905769}"/>
            </c:ext>
          </c:extLst>
        </c:ser>
        <c:ser>
          <c:idx val="1"/>
          <c:order val="1"/>
          <c:tx>
            <c:strRef>
              <c:f>'Musaffah Port'!$P$103</c:f>
              <c:strCache>
                <c:ptCount val="1"/>
                <c:pt idx="0">
                  <c:v>Ocean_Curr(m/s) &gt; 0.15m/s</c:v>
                </c:pt>
              </c:strCache>
            </c:strRef>
          </c:tx>
          <c:spPr>
            <a:solidFill>
              <a:schemeClr val="accent2"/>
            </a:solidFill>
            <a:ln>
              <a:noFill/>
            </a:ln>
            <a:effectLst/>
          </c:spPr>
          <c:invertIfNegative val="0"/>
          <c:cat>
            <c:strRef>
              <c:f>'Musaffah Port'!$Q$101:$AB$101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Port'!$Q$103:$AB$103</c:f>
              <c:numCache>
                <c:formatCode>0.00%</c:formatCode>
                <c:ptCount val="12"/>
                <c:pt idx="0">
                  <c:v>3.4200000000000001E-2</c:v>
                </c:pt>
                <c:pt idx="1">
                  <c:v>3.85E-2</c:v>
                </c:pt>
                <c:pt idx="2">
                  <c:v>4.4900000000000002E-2</c:v>
                </c:pt>
                <c:pt idx="3">
                  <c:v>6.8699999999999997E-2</c:v>
                </c:pt>
                <c:pt idx="4">
                  <c:v>0.1065</c:v>
                </c:pt>
                <c:pt idx="5">
                  <c:v>0.1515</c:v>
                </c:pt>
                <c:pt idx="6">
                  <c:v>0.13389999999999999</c:v>
                </c:pt>
                <c:pt idx="7">
                  <c:v>4.7899999999999998E-2</c:v>
                </c:pt>
                <c:pt idx="8">
                  <c:v>9.1000000000000004E-3</c:v>
                </c:pt>
                <c:pt idx="9">
                  <c:v>9.7999999999999997E-3</c:v>
                </c:pt>
                <c:pt idx="10">
                  <c:v>1.21E-2</c:v>
                </c:pt>
                <c:pt idx="11">
                  <c:v>2.2200000000000001E-2</c:v>
                </c:pt>
              </c:numCache>
            </c:numRef>
          </c:val>
          <c:extLst>
            <c:ext xmlns:c16="http://schemas.microsoft.com/office/drawing/2014/chart" uri="{C3380CC4-5D6E-409C-BE32-E72D297353CC}">
              <c16:uniqueId val="{00000002-4FBF-40EF-B4C9-ABD797905769}"/>
            </c:ext>
          </c:extLst>
        </c:ser>
        <c:dLbls>
          <c:showLegendKey val="0"/>
          <c:showVal val="0"/>
          <c:showCatName val="0"/>
          <c:showSerName val="0"/>
          <c:showPercent val="0"/>
          <c:showBubbleSize val="0"/>
        </c:dLbls>
        <c:gapWidth val="219"/>
        <c:overlap val="-27"/>
        <c:axId val="1745716232"/>
        <c:axId val="1745728520"/>
      </c:barChart>
      <c:catAx>
        <c:axId val="1745716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28520"/>
        <c:crosses val="autoZero"/>
        <c:auto val="1"/>
        <c:lblAlgn val="ctr"/>
        <c:lblOffset val="100"/>
        <c:noMultiLvlLbl val="0"/>
      </c:catAx>
      <c:valAx>
        <c:axId val="1745728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16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Port'!$P$107</c:f>
              <c:strCache>
                <c:ptCount val="1"/>
                <c:pt idx="0">
                  <c:v>WAVE_H(m)</c:v>
                </c:pt>
              </c:strCache>
            </c:strRef>
          </c:tx>
          <c:spPr>
            <a:solidFill>
              <a:schemeClr val="accent1"/>
            </a:solidFill>
            <a:ln>
              <a:noFill/>
            </a:ln>
            <a:effectLst/>
          </c:spPr>
          <c:invertIfNegative val="0"/>
          <c:cat>
            <c:strRef>
              <c:f>'Musaffah Port'!$Q$106:$AB$106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Port'!$Q$107:$AB$107</c:f>
              <c:numCache>
                <c:formatCode>0.00%</c:formatCode>
                <c:ptCount val="12"/>
                <c:pt idx="0">
                  <c:v>9.4799999999999995E-2</c:v>
                </c:pt>
                <c:pt idx="1">
                  <c:v>0.1474</c:v>
                </c:pt>
                <c:pt idx="2">
                  <c:v>0.1285</c:v>
                </c:pt>
                <c:pt idx="3">
                  <c:v>7.3999999999999996E-2</c:v>
                </c:pt>
                <c:pt idx="4">
                  <c:v>7.5899999999999995E-2</c:v>
                </c:pt>
                <c:pt idx="5">
                  <c:v>6.0699999999999997E-2</c:v>
                </c:pt>
                <c:pt idx="6">
                  <c:v>3.1800000000000002E-2</c:v>
                </c:pt>
                <c:pt idx="7">
                  <c:v>7.6E-3</c:v>
                </c:pt>
                <c:pt idx="8">
                  <c:v>7.3000000000000001E-3</c:v>
                </c:pt>
                <c:pt idx="9">
                  <c:v>5.7999999999999996E-3</c:v>
                </c:pt>
                <c:pt idx="10">
                  <c:v>5.57E-2</c:v>
                </c:pt>
                <c:pt idx="11">
                  <c:v>5.4399999999999997E-2</c:v>
                </c:pt>
              </c:numCache>
            </c:numRef>
          </c:val>
          <c:extLst>
            <c:ext xmlns:c16="http://schemas.microsoft.com/office/drawing/2014/chart" uri="{C3380CC4-5D6E-409C-BE32-E72D297353CC}">
              <c16:uniqueId val="{00000000-3431-4F44-9370-015DD953457B}"/>
            </c:ext>
          </c:extLst>
        </c:ser>
        <c:ser>
          <c:idx val="1"/>
          <c:order val="1"/>
          <c:tx>
            <c:strRef>
              <c:f>'Musaffah Port'!$P$108</c:f>
              <c:strCache>
                <c:ptCount val="1"/>
                <c:pt idx="0">
                  <c:v>Swell_Hs(m)</c:v>
                </c:pt>
              </c:strCache>
            </c:strRef>
          </c:tx>
          <c:spPr>
            <a:solidFill>
              <a:schemeClr val="accent2"/>
            </a:solidFill>
            <a:ln>
              <a:noFill/>
            </a:ln>
            <a:effectLst/>
          </c:spPr>
          <c:invertIfNegative val="0"/>
          <c:cat>
            <c:strRef>
              <c:f>'Musaffah Port'!$Q$106:$AB$106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Port'!$Q$108:$AB$108</c:f>
              <c:numCache>
                <c:formatCode>0.00%</c:formatCode>
                <c:ptCount val="12"/>
                <c:pt idx="0">
                  <c:v>1.9400000000000001E-2</c:v>
                </c:pt>
                <c:pt idx="1">
                  <c:v>4.3700000000000003E-2</c:v>
                </c:pt>
                <c:pt idx="2">
                  <c:v>2.3900000000000001E-2</c:v>
                </c:pt>
                <c:pt idx="3">
                  <c:v>8.8999999999999999E-3</c:v>
                </c:pt>
                <c:pt idx="4">
                  <c:v>3.0000000000000001E-3</c:v>
                </c:pt>
                <c:pt idx="5">
                  <c:v>3.3999999999999998E-3</c:v>
                </c:pt>
                <c:pt idx="6">
                  <c:v>5.0000000000000001E-4</c:v>
                </c:pt>
                <c:pt idx="7">
                  <c:v>0</c:v>
                </c:pt>
                <c:pt idx="8">
                  <c:v>0</c:v>
                </c:pt>
                <c:pt idx="9">
                  <c:v>1.5E-3</c:v>
                </c:pt>
                <c:pt idx="10">
                  <c:v>1.8800000000000001E-2</c:v>
                </c:pt>
                <c:pt idx="11">
                  <c:v>1.23E-2</c:v>
                </c:pt>
              </c:numCache>
            </c:numRef>
          </c:val>
          <c:extLst>
            <c:ext xmlns:c16="http://schemas.microsoft.com/office/drawing/2014/chart" uri="{C3380CC4-5D6E-409C-BE32-E72D297353CC}">
              <c16:uniqueId val="{00000002-3431-4F44-9370-015DD953457B}"/>
            </c:ext>
          </c:extLst>
        </c:ser>
        <c:ser>
          <c:idx val="2"/>
          <c:order val="2"/>
          <c:tx>
            <c:strRef>
              <c:f>'Musaffah Port'!$P$109</c:f>
              <c:strCache>
                <c:ptCount val="1"/>
                <c:pt idx="0">
                  <c:v>Storm_Surge(m) &gt; 0.3m</c:v>
                </c:pt>
              </c:strCache>
            </c:strRef>
          </c:tx>
          <c:spPr>
            <a:solidFill>
              <a:schemeClr val="accent3"/>
            </a:solidFill>
            <a:ln>
              <a:noFill/>
            </a:ln>
            <a:effectLst/>
          </c:spPr>
          <c:invertIfNegative val="0"/>
          <c:cat>
            <c:strRef>
              <c:f>'Musaffah Port'!$Q$106:$AB$106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Port'!$Q$109:$AB$109</c:f>
              <c:numCache>
                <c:formatCode>0.00%</c:formatCode>
                <c:ptCount val="12"/>
                <c:pt idx="0">
                  <c:v>0.11210000000000001</c:v>
                </c:pt>
                <c:pt idx="1">
                  <c:v>6.5799999999999997E-2</c:v>
                </c:pt>
                <c:pt idx="2">
                  <c:v>2.46E-2</c:v>
                </c:pt>
                <c:pt idx="3">
                  <c:v>6.3E-3</c:v>
                </c:pt>
                <c:pt idx="4">
                  <c:v>9.1999999999999998E-3</c:v>
                </c:pt>
                <c:pt idx="5">
                  <c:v>3.2000000000000002E-3</c:v>
                </c:pt>
                <c:pt idx="6">
                  <c:v>1.5E-3</c:v>
                </c:pt>
                <c:pt idx="7">
                  <c:v>6.1000000000000004E-3</c:v>
                </c:pt>
                <c:pt idx="8">
                  <c:v>0.1143</c:v>
                </c:pt>
                <c:pt idx="9">
                  <c:v>0.36409999999999998</c:v>
                </c:pt>
                <c:pt idx="10">
                  <c:v>0.27139999999999997</c:v>
                </c:pt>
                <c:pt idx="11">
                  <c:v>0.21809999999999999</c:v>
                </c:pt>
              </c:numCache>
            </c:numRef>
          </c:val>
          <c:extLst>
            <c:ext xmlns:c16="http://schemas.microsoft.com/office/drawing/2014/chart" uri="{C3380CC4-5D6E-409C-BE32-E72D297353CC}">
              <c16:uniqueId val="{00000004-3431-4F44-9370-015DD953457B}"/>
            </c:ext>
          </c:extLst>
        </c:ser>
        <c:dLbls>
          <c:showLegendKey val="0"/>
          <c:showVal val="0"/>
          <c:showCatName val="0"/>
          <c:showSerName val="0"/>
          <c:showPercent val="0"/>
          <c:showBubbleSize val="0"/>
        </c:dLbls>
        <c:gapWidth val="219"/>
        <c:overlap val="-27"/>
        <c:axId val="1174858247"/>
        <c:axId val="1892956167"/>
      </c:barChart>
      <c:catAx>
        <c:axId val="1174858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956167"/>
        <c:crosses val="autoZero"/>
        <c:auto val="1"/>
        <c:lblAlgn val="ctr"/>
        <c:lblOffset val="100"/>
        <c:noMultiLvlLbl val="0"/>
      </c:catAx>
      <c:valAx>
        <c:axId val="18929561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858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Port'!$P$113</c:f>
              <c:strCache>
                <c:ptCount val="1"/>
                <c:pt idx="0">
                  <c:v>Wave_Tp(s) &gt; 7s</c:v>
                </c:pt>
              </c:strCache>
            </c:strRef>
          </c:tx>
          <c:spPr>
            <a:solidFill>
              <a:schemeClr val="accent1"/>
            </a:solidFill>
            <a:ln>
              <a:noFill/>
            </a:ln>
            <a:effectLst/>
          </c:spPr>
          <c:invertIfNegative val="0"/>
          <c:cat>
            <c:strRef>
              <c:f>'Musaffah Port'!$Q$112:$AB$112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Port'!$Q$113:$AB$113</c:f>
              <c:numCache>
                <c:formatCode>0.00%</c:formatCode>
                <c:ptCount val="12"/>
                <c:pt idx="0">
                  <c:v>0.2132</c:v>
                </c:pt>
                <c:pt idx="1">
                  <c:v>0.26190000000000002</c:v>
                </c:pt>
                <c:pt idx="2">
                  <c:v>0.187</c:v>
                </c:pt>
                <c:pt idx="3">
                  <c:v>7.9899999999999999E-2</c:v>
                </c:pt>
                <c:pt idx="4">
                  <c:v>8.77E-2</c:v>
                </c:pt>
                <c:pt idx="5">
                  <c:v>0.1323</c:v>
                </c:pt>
                <c:pt idx="6">
                  <c:v>4.7399999999999998E-2</c:v>
                </c:pt>
                <c:pt idx="7">
                  <c:v>3.1199999999999999E-2</c:v>
                </c:pt>
                <c:pt idx="8">
                  <c:v>3.1199999999999999E-2</c:v>
                </c:pt>
                <c:pt idx="9">
                  <c:v>5.4199999999999998E-2</c:v>
                </c:pt>
                <c:pt idx="10">
                  <c:v>0.15759999999999999</c:v>
                </c:pt>
                <c:pt idx="11">
                  <c:v>0.1691</c:v>
                </c:pt>
              </c:numCache>
            </c:numRef>
          </c:val>
          <c:extLst>
            <c:ext xmlns:c16="http://schemas.microsoft.com/office/drawing/2014/chart" uri="{C3380CC4-5D6E-409C-BE32-E72D297353CC}">
              <c16:uniqueId val="{00000000-E594-4BD0-B577-E72F74C1C394}"/>
            </c:ext>
          </c:extLst>
        </c:ser>
        <c:ser>
          <c:idx val="1"/>
          <c:order val="1"/>
          <c:tx>
            <c:strRef>
              <c:f>'Musaffah Port'!$P$114</c:f>
              <c:strCache>
                <c:ptCount val="1"/>
                <c:pt idx="0">
                  <c:v>Swell_Tp(s) &gt; 7s</c:v>
                </c:pt>
              </c:strCache>
            </c:strRef>
          </c:tx>
          <c:spPr>
            <a:solidFill>
              <a:schemeClr val="accent2"/>
            </a:solidFill>
            <a:ln>
              <a:noFill/>
            </a:ln>
            <a:effectLst/>
          </c:spPr>
          <c:invertIfNegative val="0"/>
          <c:cat>
            <c:strRef>
              <c:f>'Musaffah Port'!$Q$112:$AB$112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'Musaffah Port'!$Q$114:$AB$114</c:f>
              <c:numCache>
                <c:formatCode>0.00%</c:formatCode>
                <c:ptCount val="12"/>
                <c:pt idx="0">
                  <c:v>5.0700000000000002E-2</c:v>
                </c:pt>
                <c:pt idx="1">
                  <c:v>8.7900000000000006E-2</c:v>
                </c:pt>
                <c:pt idx="2">
                  <c:v>5.7000000000000002E-2</c:v>
                </c:pt>
                <c:pt idx="3">
                  <c:v>2.6800000000000001E-2</c:v>
                </c:pt>
                <c:pt idx="4">
                  <c:v>1.44E-2</c:v>
                </c:pt>
                <c:pt idx="5">
                  <c:v>1.95E-2</c:v>
                </c:pt>
                <c:pt idx="6">
                  <c:v>5.7999999999999996E-3</c:v>
                </c:pt>
                <c:pt idx="7">
                  <c:v>0</c:v>
                </c:pt>
                <c:pt idx="8">
                  <c:v>2.0999999999999999E-3</c:v>
                </c:pt>
                <c:pt idx="9">
                  <c:v>2.5000000000000001E-3</c:v>
                </c:pt>
                <c:pt idx="10">
                  <c:v>3.44E-2</c:v>
                </c:pt>
                <c:pt idx="11">
                  <c:v>2.5999999999999999E-2</c:v>
                </c:pt>
              </c:numCache>
            </c:numRef>
          </c:val>
          <c:extLst>
            <c:ext xmlns:c16="http://schemas.microsoft.com/office/drawing/2014/chart" uri="{C3380CC4-5D6E-409C-BE32-E72D297353CC}">
              <c16:uniqueId val="{00000002-E594-4BD0-B577-E72F74C1C394}"/>
            </c:ext>
          </c:extLst>
        </c:ser>
        <c:dLbls>
          <c:showLegendKey val="0"/>
          <c:showVal val="0"/>
          <c:showCatName val="0"/>
          <c:showSerName val="0"/>
          <c:showPercent val="0"/>
          <c:showBubbleSize val="0"/>
        </c:dLbls>
        <c:gapWidth val="219"/>
        <c:overlap val="-27"/>
        <c:axId val="2072046600"/>
        <c:axId val="861058056"/>
      </c:barChart>
      <c:catAx>
        <c:axId val="207204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058056"/>
        <c:crosses val="autoZero"/>
        <c:auto val="1"/>
        <c:lblAlgn val="ctr"/>
        <c:lblOffset val="100"/>
        <c:noMultiLvlLbl val="0"/>
      </c:catAx>
      <c:valAx>
        <c:axId val="861058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46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Port'!$Q$46:$R$46</c:f>
              <c:strCache>
                <c:ptCount val="2"/>
                <c:pt idx="0">
                  <c:v>SWELL_T(s)</c:v>
                </c:pt>
                <c:pt idx="1">
                  <c:v>MAX</c:v>
                </c:pt>
              </c:strCache>
            </c:strRef>
          </c:tx>
          <c:spPr>
            <a:solidFill>
              <a:schemeClr val="accent1"/>
            </a:solidFill>
            <a:ln>
              <a:noFill/>
            </a:ln>
            <a:effectLst/>
          </c:spPr>
          <c:invertIfNegative val="0"/>
          <c:val>
            <c:numRef>
              <c:f>'Musaffah Port'!$S$46:$AD$46</c:f>
              <c:numCache>
                <c:formatCode>General</c:formatCode>
                <c:ptCount val="12"/>
                <c:pt idx="0">
                  <c:v>7.9</c:v>
                </c:pt>
                <c:pt idx="1">
                  <c:v>8.36</c:v>
                </c:pt>
                <c:pt idx="2">
                  <c:v>8.42</c:v>
                </c:pt>
                <c:pt idx="3">
                  <c:v>7.91</c:v>
                </c:pt>
                <c:pt idx="4">
                  <c:v>7.09</c:v>
                </c:pt>
                <c:pt idx="5">
                  <c:v>7.3</c:v>
                </c:pt>
                <c:pt idx="6">
                  <c:v>7.2</c:v>
                </c:pt>
                <c:pt idx="7">
                  <c:v>5.94</c:v>
                </c:pt>
                <c:pt idx="8">
                  <c:v>7.09</c:v>
                </c:pt>
                <c:pt idx="9">
                  <c:v>6.46</c:v>
                </c:pt>
                <c:pt idx="10">
                  <c:v>8.08</c:v>
                </c:pt>
                <c:pt idx="11">
                  <c:v>7.69</c:v>
                </c:pt>
              </c:numCache>
            </c:numRef>
          </c:val>
          <c:extLst>
            <c:ext xmlns:c16="http://schemas.microsoft.com/office/drawing/2014/chart" uri="{C3380CC4-5D6E-409C-BE32-E72D297353CC}">
              <c16:uniqueId val="{00000000-E0D2-4811-B1F3-EEB144DCAD5C}"/>
            </c:ext>
          </c:extLst>
        </c:ser>
        <c:ser>
          <c:idx val="1"/>
          <c:order val="1"/>
          <c:tx>
            <c:strRef>
              <c:f>'Musaffah Port'!$Q$47:$R$47</c:f>
              <c:strCache>
                <c:ptCount val="2"/>
                <c:pt idx="0">
                  <c:v>WAVE_T(s)</c:v>
                </c:pt>
                <c:pt idx="1">
                  <c:v>MAX</c:v>
                </c:pt>
              </c:strCache>
            </c:strRef>
          </c:tx>
          <c:spPr>
            <a:solidFill>
              <a:schemeClr val="accent2"/>
            </a:solidFill>
            <a:ln>
              <a:noFill/>
            </a:ln>
            <a:effectLst/>
          </c:spPr>
          <c:invertIfNegative val="0"/>
          <c:val>
            <c:numRef>
              <c:f>'Musaffah Port'!$S$47:$AD$47</c:f>
              <c:numCache>
                <c:formatCode>General</c:formatCode>
                <c:ptCount val="12"/>
                <c:pt idx="0">
                  <c:v>8.1999999999999993</c:v>
                </c:pt>
                <c:pt idx="1">
                  <c:v>8.35</c:v>
                </c:pt>
                <c:pt idx="2">
                  <c:v>8.27</c:v>
                </c:pt>
                <c:pt idx="3">
                  <c:v>7.6</c:v>
                </c:pt>
                <c:pt idx="4">
                  <c:v>7.44</c:v>
                </c:pt>
                <c:pt idx="5">
                  <c:v>7.92</c:v>
                </c:pt>
                <c:pt idx="6">
                  <c:v>7.53</c:v>
                </c:pt>
                <c:pt idx="7">
                  <c:v>6.71</c:v>
                </c:pt>
                <c:pt idx="8">
                  <c:v>7.6</c:v>
                </c:pt>
                <c:pt idx="9">
                  <c:v>7.72</c:v>
                </c:pt>
                <c:pt idx="10">
                  <c:v>8.23</c:v>
                </c:pt>
                <c:pt idx="11">
                  <c:v>8.33</c:v>
                </c:pt>
              </c:numCache>
            </c:numRef>
          </c:val>
          <c:extLst>
            <c:ext xmlns:c16="http://schemas.microsoft.com/office/drawing/2014/chart" uri="{C3380CC4-5D6E-409C-BE32-E72D297353CC}">
              <c16:uniqueId val="{00000002-E0D2-4811-B1F3-EEB144DCAD5C}"/>
            </c:ext>
          </c:extLst>
        </c:ser>
        <c:dLbls>
          <c:showLegendKey val="0"/>
          <c:showVal val="0"/>
          <c:showCatName val="0"/>
          <c:showSerName val="0"/>
          <c:showPercent val="0"/>
          <c:showBubbleSize val="0"/>
        </c:dLbls>
        <c:gapWidth val="219"/>
        <c:overlap val="-27"/>
        <c:axId val="219442695"/>
        <c:axId val="219453447"/>
      </c:barChart>
      <c:catAx>
        <c:axId val="21944269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53447"/>
        <c:crosses val="autoZero"/>
        <c:auto val="1"/>
        <c:lblAlgn val="ctr"/>
        <c:lblOffset val="100"/>
        <c:noMultiLvlLbl val="0"/>
      </c:catAx>
      <c:valAx>
        <c:axId val="219453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442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Port'!$Q$38:$R$38</c:f>
              <c:strCache>
                <c:ptCount val="2"/>
                <c:pt idx="0">
                  <c:v>WAVE_H(m)</c:v>
                </c:pt>
                <c:pt idx="1">
                  <c:v>MAX</c:v>
                </c:pt>
              </c:strCache>
            </c:strRef>
          </c:tx>
          <c:spPr>
            <a:solidFill>
              <a:schemeClr val="accent1"/>
            </a:solidFill>
            <a:ln>
              <a:noFill/>
            </a:ln>
            <a:effectLst/>
          </c:spPr>
          <c:invertIfNegative val="0"/>
          <c:cat>
            <c:strRef>
              <c:f>'Musaffah Port'!$S$37:$AD$37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Port'!$S$38:$AD$38</c:f>
              <c:numCache>
                <c:formatCode>General</c:formatCode>
                <c:ptCount val="12"/>
                <c:pt idx="0">
                  <c:v>1.35</c:v>
                </c:pt>
                <c:pt idx="1">
                  <c:v>1.31</c:v>
                </c:pt>
                <c:pt idx="2">
                  <c:v>1.46</c:v>
                </c:pt>
                <c:pt idx="3">
                  <c:v>1.3</c:v>
                </c:pt>
                <c:pt idx="4">
                  <c:v>1.23</c:v>
                </c:pt>
                <c:pt idx="5">
                  <c:v>1.25</c:v>
                </c:pt>
                <c:pt idx="6">
                  <c:v>1.1599999999999999</c:v>
                </c:pt>
                <c:pt idx="7">
                  <c:v>1.0900000000000001</c:v>
                </c:pt>
                <c:pt idx="8">
                  <c:v>1.02</c:v>
                </c:pt>
                <c:pt idx="9">
                  <c:v>0.92</c:v>
                </c:pt>
                <c:pt idx="10">
                  <c:v>1.27</c:v>
                </c:pt>
                <c:pt idx="11">
                  <c:v>1.28</c:v>
                </c:pt>
              </c:numCache>
            </c:numRef>
          </c:val>
          <c:extLst>
            <c:ext xmlns:c16="http://schemas.microsoft.com/office/drawing/2014/chart" uri="{C3380CC4-5D6E-409C-BE32-E72D297353CC}">
              <c16:uniqueId val="{00000000-FCAB-4B80-8536-35AAD3F67873}"/>
            </c:ext>
          </c:extLst>
        </c:ser>
        <c:ser>
          <c:idx val="1"/>
          <c:order val="1"/>
          <c:tx>
            <c:strRef>
              <c:f>'Musaffah Port'!$Q$39:$R$39</c:f>
              <c:strCache>
                <c:ptCount val="2"/>
                <c:pt idx="0">
                  <c:v>SWELL_H(m)</c:v>
                </c:pt>
                <c:pt idx="1">
                  <c:v>MAX</c:v>
                </c:pt>
              </c:strCache>
            </c:strRef>
          </c:tx>
          <c:spPr>
            <a:solidFill>
              <a:schemeClr val="accent2"/>
            </a:solidFill>
            <a:ln>
              <a:noFill/>
            </a:ln>
            <a:effectLst/>
          </c:spPr>
          <c:invertIfNegative val="0"/>
          <c:cat>
            <c:strRef>
              <c:f>'Musaffah Port'!$S$37:$AD$37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Port'!$S$39:$AD$39</c:f>
              <c:numCache>
                <c:formatCode>General</c:formatCode>
                <c:ptCount val="12"/>
                <c:pt idx="0">
                  <c:v>0.77</c:v>
                </c:pt>
                <c:pt idx="1">
                  <c:v>0.81</c:v>
                </c:pt>
                <c:pt idx="2">
                  <c:v>0.78</c:v>
                </c:pt>
                <c:pt idx="3">
                  <c:v>0.72</c:v>
                </c:pt>
                <c:pt idx="4">
                  <c:v>0.7</c:v>
                </c:pt>
                <c:pt idx="5">
                  <c:v>0.67</c:v>
                </c:pt>
                <c:pt idx="6">
                  <c:v>0.65</c:v>
                </c:pt>
                <c:pt idx="7">
                  <c:v>0.56000000000000005</c:v>
                </c:pt>
                <c:pt idx="8">
                  <c:v>0.56999999999999995</c:v>
                </c:pt>
                <c:pt idx="9">
                  <c:v>0.65</c:v>
                </c:pt>
                <c:pt idx="10">
                  <c:v>0.79</c:v>
                </c:pt>
                <c:pt idx="11">
                  <c:v>0.8</c:v>
                </c:pt>
              </c:numCache>
            </c:numRef>
          </c:val>
          <c:extLst>
            <c:ext xmlns:c16="http://schemas.microsoft.com/office/drawing/2014/chart" uri="{C3380CC4-5D6E-409C-BE32-E72D297353CC}">
              <c16:uniqueId val="{00000002-FCAB-4B80-8536-35AAD3F67873}"/>
            </c:ext>
          </c:extLst>
        </c:ser>
        <c:ser>
          <c:idx val="2"/>
          <c:order val="2"/>
          <c:tx>
            <c:strRef>
              <c:f>'Musaffah Port'!$Q$40:$R$40</c:f>
              <c:strCache>
                <c:ptCount val="2"/>
                <c:pt idx="0">
                  <c:v>STORM_SURGE(m)</c:v>
                </c:pt>
                <c:pt idx="1">
                  <c:v>MAX</c:v>
                </c:pt>
              </c:strCache>
            </c:strRef>
          </c:tx>
          <c:spPr>
            <a:solidFill>
              <a:schemeClr val="accent3"/>
            </a:solidFill>
            <a:ln>
              <a:noFill/>
            </a:ln>
            <a:effectLst/>
          </c:spPr>
          <c:invertIfNegative val="0"/>
          <c:cat>
            <c:strRef>
              <c:f>'Musaffah Port'!$S$37:$AD$37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Port'!$S$40:$AD$40</c:f>
              <c:numCache>
                <c:formatCode>General</c:formatCode>
                <c:ptCount val="12"/>
                <c:pt idx="0">
                  <c:v>0.56000000000000005</c:v>
                </c:pt>
                <c:pt idx="1">
                  <c:v>0.5</c:v>
                </c:pt>
                <c:pt idx="2">
                  <c:v>0.44</c:v>
                </c:pt>
                <c:pt idx="3">
                  <c:v>0.56000000000000005</c:v>
                </c:pt>
                <c:pt idx="4">
                  <c:v>0.5</c:v>
                </c:pt>
                <c:pt idx="5">
                  <c:v>0.37</c:v>
                </c:pt>
                <c:pt idx="6">
                  <c:v>0.6</c:v>
                </c:pt>
                <c:pt idx="7">
                  <c:v>0.67</c:v>
                </c:pt>
                <c:pt idx="8">
                  <c:v>0.71</c:v>
                </c:pt>
                <c:pt idx="9">
                  <c:v>0.92</c:v>
                </c:pt>
                <c:pt idx="10">
                  <c:v>0.79</c:v>
                </c:pt>
                <c:pt idx="11">
                  <c:v>0.66</c:v>
                </c:pt>
              </c:numCache>
            </c:numRef>
          </c:val>
          <c:extLst>
            <c:ext xmlns:c16="http://schemas.microsoft.com/office/drawing/2014/chart" uri="{C3380CC4-5D6E-409C-BE32-E72D297353CC}">
              <c16:uniqueId val="{00000004-FCAB-4B80-8536-35AAD3F67873}"/>
            </c:ext>
          </c:extLst>
        </c:ser>
        <c:ser>
          <c:idx val="3"/>
          <c:order val="3"/>
          <c:tx>
            <c:strRef>
              <c:f>'Musaffah Port'!$Q$41:$R$41</c:f>
              <c:strCache>
                <c:ptCount val="2"/>
                <c:pt idx="0">
                  <c:v>TOTAL_WATER_LEVEL(m)</c:v>
                </c:pt>
                <c:pt idx="1">
                  <c:v>MAX</c:v>
                </c:pt>
              </c:strCache>
            </c:strRef>
          </c:tx>
          <c:spPr>
            <a:solidFill>
              <a:schemeClr val="accent4"/>
            </a:solidFill>
            <a:ln>
              <a:noFill/>
            </a:ln>
            <a:effectLst/>
          </c:spPr>
          <c:invertIfNegative val="0"/>
          <c:cat>
            <c:strRef>
              <c:f>'Musaffah Port'!$S$37:$AD$37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Port'!$S$41:$AD$41</c:f>
              <c:numCache>
                <c:formatCode>0.00</c:formatCode>
                <c:ptCount val="12"/>
                <c:pt idx="0">
                  <c:v>1.9884831169999999</c:v>
                </c:pt>
                <c:pt idx="1">
                  <c:v>1.7477648589999999</c:v>
                </c:pt>
                <c:pt idx="2">
                  <c:v>1.6062653979999999</c:v>
                </c:pt>
                <c:pt idx="3">
                  <c:v>1.6127105589999999</c:v>
                </c:pt>
                <c:pt idx="4">
                  <c:v>2.1761311000000001</c:v>
                </c:pt>
                <c:pt idx="5">
                  <c:v>1.718976206</c:v>
                </c:pt>
                <c:pt idx="6">
                  <c:v>2.0503336820000002</c:v>
                </c:pt>
                <c:pt idx="7">
                  <c:v>1.91678554</c:v>
                </c:pt>
                <c:pt idx="8">
                  <c:v>2.2479071990000001</c:v>
                </c:pt>
                <c:pt idx="9">
                  <c:v>2.1524295040000001</c:v>
                </c:pt>
                <c:pt idx="10">
                  <c:v>2.0313499450000001</c:v>
                </c:pt>
                <c:pt idx="11">
                  <c:v>1.907884935</c:v>
                </c:pt>
              </c:numCache>
            </c:numRef>
          </c:val>
          <c:extLst>
            <c:ext xmlns:c16="http://schemas.microsoft.com/office/drawing/2014/chart" uri="{C3380CC4-5D6E-409C-BE32-E72D297353CC}">
              <c16:uniqueId val="{00000006-FCAB-4B80-8536-35AAD3F67873}"/>
            </c:ext>
          </c:extLst>
        </c:ser>
        <c:dLbls>
          <c:showLegendKey val="0"/>
          <c:showVal val="0"/>
          <c:showCatName val="0"/>
          <c:showSerName val="0"/>
          <c:showPercent val="0"/>
          <c:showBubbleSize val="0"/>
        </c:dLbls>
        <c:gapWidth val="219"/>
        <c:overlap val="-27"/>
        <c:axId val="4236807"/>
        <c:axId val="4238855"/>
      </c:barChart>
      <c:catAx>
        <c:axId val="4236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8855"/>
        <c:crosses val="autoZero"/>
        <c:auto val="1"/>
        <c:lblAlgn val="ctr"/>
        <c:lblOffset val="100"/>
        <c:noMultiLvlLbl val="0"/>
      </c:catAx>
      <c:valAx>
        <c:axId val="4238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6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Port'!$Q$31:$R$31</c:f>
              <c:strCache>
                <c:ptCount val="2"/>
                <c:pt idx="0">
                  <c:v>WIND(m/s)</c:v>
                </c:pt>
                <c:pt idx="1">
                  <c:v>MAX</c:v>
                </c:pt>
              </c:strCache>
            </c:strRef>
          </c:tx>
          <c:spPr>
            <a:solidFill>
              <a:schemeClr val="accent1"/>
            </a:solidFill>
            <a:ln>
              <a:noFill/>
            </a:ln>
            <a:effectLst/>
          </c:spPr>
          <c:invertIfNegative val="0"/>
          <c:cat>
            <c:strRef>
              <c:f>'Musaffah Port'!$S$30:$AD$30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Port'!$S$31:$AD$31</c:f>
              <c:numCache>
                <c:formatCode>General</c:formatCode>
                <c:ptCount val="12"/>
                <c:pt idx="0">
                  <c:v>12.89</c:v>
                </c:pt>
                <c:pt idx="1">
                  <c:v>12.96</c:v>
                </c:pt>
                <c:pt idx="2">
                  <c:v>12.82</c:v>
                </c:pt>
                <c:pt idx="3">
                  <c:v>11.59</c:v>
                </c:pt>
                <c:pt idx="4">
                  <c:v>11.81</c:v>
                </c:pt>
                <c:pt idx="5">
                  <c:v>12.11</c:v>
                </c:pt>
                <c:pt idx="6">
                  <c:v>11.24</c:v>
                </c:pt>
                <c:pt idx="7">
                  <c:v>11.05</c:v>
                </c:pt>
                <c:pt idx="8">
                  <c:v>9.6999999999999993</c:v>
                </c:pt>
                <c:pt idx="9">
                  <c:v>9.14</c:v>
                </c:pt>
                <c:pt idx="10">
                  <c:v>10.67</c:v>
                </c:pt>
                <c:pt idx="11">
                  <c:v>10.83</c:v>
                </c:pt>
              </c:numCache>
            </c:numRef>
          </c:val>
          <c:extLst>
            <c:ext xmlns:c16="http://schemas.microsoft.com/office/drawing/2014/chart" uri="{C3380CC4-5D6E-409C-BE32-E72D297353CC}">
              <c16:uniqueId val="{00000000-3E0B-4021-A29D-7C935F58E157}"/>
            </c:ext>
          </c:extLst>
        </c:ser>
        <c:dLbls>
          <c:showLegendKey val="0"/>
          <c:showVal val="0"/>
          <c:showCatName val="0"/>
          <c:showSerName val="0"/>
          <c:showPercent val="0"/>
          <c:showBubbleSize val="0"/>
        </c:dLbls>
        <c:gapWidth val="219"/>
        <c:overlap val="-27"/>
        <c:axId val="1584103943"/>
        <c:axId val="1583940615"/>
      </c:barChart>
      <c:catAx>
        <c:axId val="1584103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940615"/>
        <c:crosses val="autoZero"/>
        <c:auto val="1"/>
        <c:lblAlgn val="ctr"/>
        <c:lblOffset val="100"/>
        <c:noMultiLvlLbl val="0"/>
      </c:catAx>
      <c:valAx>
        <c:axId val="1583940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103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Port'!$Q$35:$R$35</c:f>
              <c:strCache>
                <c:ptCount val="2"/>
                <c:pt idx="0">
                  <c:v>OCEAN_CURR(m/s)</c:v>
                </c:pt>
                <c:pt idx="1">
                  <c:v>MAX</c:v>
                </c:pt>
              </c:strCache>
            </c:strRef>
          </c:tx>
          <c:spPr>
            <a:solidFill>
              <a:schemeClr val="accent1"/>
            </a:solidFill>
            <a:ln>
              <a:noFill/>
            </a:ln>
            <a:effectLst/>
          </c:spPr>
          <c:invertIfNegative val="0"/>
          <c:cat>
            <c:strRef>
              <c:f>'Musaffah Port'!$S$34:$AD$34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Port'!$S$35:$AD$35</c:f>
              <c:numCache>
                <c:formatCode>General</c:formatCode>
                <c:ptCount val="12"/>
                <c:pt idx="0">
                  <c:v>0.17</c:v>
                </c:pt>
                <c:pt idx="1">
                  <c:v>0.17</c:v>
                </c:pt>
                <c:pt idx="2">
                  <c:v>0.18</c:v>
                </c:pt>
                <c:pt idx="3">
                  <c:v>0.18</c:v>
                </c:pt>
                <c:pt idx="4">
                  <c:v>0.19</c:v>
                </c:pt>
                <c:pt idx="5">
                  <c:v>0.21</c:v>
                </c:pt>
                <c:pt idx="6">
                  <c:v>0.18</c:v>
                </c:pt>
                <c:pt idx="7">
                  <c:v>0.17</c:v>
                </c:pt>
                <c:pt idx="8">
                  <c:v>0.15</c:v>
                </c:pt>
                <c:pt idx="9">
                  <c:v>0.15</c:v>
                </c:pt>
                <c:pt idx="10">
                  <c:v>0.15</c:v>
                </c:pt>
                <c:pt idx="11">
                  <c:v>0.16</c:v>
                </c:pt>
              </c:numCache>
            </c:numRef>
          </c:val>
          <c:extLst>
            <c:ext xmlns:c16="http://schemas.microsoft.com/office/drawing/2014/chart" uri="{C3380CC4-5D6E-409C-BE32-E72D297353CC}">
              <c16:uniqueId val="{00000000-9825-438C-AA94-70C8509EB329}"/>
            </c:ext>
          </c:extLst>
        </c:ser>
        <c:dLbls>
          <c:showLegendKey val="0"/>
          <c:showVal val="0"/>
          <c:showCatName val="0"/>
          <c:showSerName val="0"/>
          <c:showPercent val="0"/>
          <c:showBubbleSize val="0"/>
        </c:dLbls>
        <c:gapWidth val="219"/>
        <c:overlap val="-27"/>
        <c:axId val="1468567559"/>
        <c:axId val="1468569607"/>
      </c:barChart>
      <c:catAx>
        <c:axId val="1468567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569607"/>
        <c:crosses val="autoZero"/>
        <c:auto val="1"/>
        <c:lblAlgn val="ctr"/>
        <c:lblOffset val="100"/>
        <c:noMultiLvlLbl val="0"/>
      </c:catAx>
      <c:valAx>
        <c:axId val="1468569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567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'Musaffah Port'!$Q$38:$R$38</c:f>
              <c:strCache>
                <c:ptCount val="2"/>
                <c:pt idx="0">
                  <c:v>WAVE_H(m)</c:v>
                </c:pt>
                <c:pt idx="1">
                  <c:v>MAX</c:v>
                </c:pt>
              </c:strCache>
            </c:strRef>
          </c:tx>
          <c:spPr>
            <a:solidFill>
              <a:schemeClr val="accent1"/>
            </a:solidFill>
            <a:ln>
              <a:noFill/>
            </a:ln>
            <a:effectLst/>
          </c:spPr>
          <c:invertIfNegative val="0"/>
          <c:cat>
            <c:strRef>
              <c:f>'Musaffah Port'!$S$37:$AD$37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Port'!$S$38:$AD$38</c:f>
              <c:numCache>
                <c:formatCode>General</c:formatCode>
                <c:ptCount val="12"/>
                <c:pt idx="0">
                  <c:v>1.35</c:v>
                </c:pt>
                <c:pt idx="1">
                  <c:v>1.31</c:v>
                </c:pt>
                <c:pt idx="2">
                  <c:v>1.46</c:v>
                </c:pt>
                <c:pt idx="3">
                  <c:v>1.3</c:v>
                </c:pt>
                <c:pt idx="4">
                  <c:v>1.23</c:v>
                </c:pt>
                <c:pt idx="5">
                  <c:v>1.25</c:v>
                </c:pt>
                <c:pt idx="6">
                  <c:v>1.1599999999999999</c:v>
                </c:pt>
                <c:pt idx="7">
                  <c:v>1.0900000000000001</c:v>
                </c:pt>
                <c:pt idx="8">
                  <c:v>1.02</c:v>
                </c:pt>
                <c:pt idx="9">
                  <c:v>0.92</c:v>
                </c:pt>
                <c:pt idx="10">
                  <c:v>1.27</c:v>
                </c:pt>
                <c:pt idx="11">
                  <c:v>1.28</c:v>
                </c:pt>
              </c:numCache>
            </c:numRef>
          </c:val>
          <c:extLst>
            <c:ext xmlns:c16="http://schemas.microsoft.com/office/drawing/2014/chart" uri="{C3380CC4-5D6E-409C-BE32-E72D297353CC}">
              <c16:uniqueId val="{00000000-1622-4990-8101-F6D4FE1DB77C}"/>
            </c:ext>
          </c:extLst>
        </c:ser>
        <c:ser>
          <c:idx val="1"/>
          <c:order val="1"/>
          <c:tx>
            <c:strRef>
              <c:f>'Musaffah Port'!$Q$39:$R$39</c:f>
              <c:strCache>
                <c:ptCount val="2"/>
                <c:pt idx="0">
                  <c:v>SWELL_H(m)</c:v>
                </c:pt>
                <c:pt idx="1">
                  <c:v>MAX</c:v>
                </c:pt>
              </c:strCache>
            </c:strRef>
          </c:tx>
          <c:spPr>
            <a:solidFill>
              <a:schemeClr val="accent2"/>
            </a:solidFill>
            <a:ln>
              <a:noFill/>
            </a:ln>
            <a:effectLst/>
          </c:spPr>
          <c:invertIfNegative val="0"/>
          <c:cat>
            <c:strRef>
              <c:f>'Musaffah Port'!$S$37:$AD$37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Port'!$S$39:$AD$39</c:f>
              <c:numCache>
                <c:formatCode>General</c:formatCode>
                <c:ptCount val="12"/>
                <c:pt idx="0">
                  <c:v>0.77</c:v>
                </c:pt>
                <c:pt idx="1">
                  <c:v>0.81</c:v>
                </c:pt>
                <c:pt idx="2">
                  <c:v>0.78</c:v>
                </c:pt>
                <c:pt idx="3">
                  <c:v>0.72</c:v>
                </c:pt>
                <c:pt idx="4">
                  <c:v>0.7</c:v>
                </c:pt>
                <c:pt idx="5">
                  <c:v>0.67</c:v>
                </c:pt>
                <c:pt idx="6">
                  <c:v>0.65</c:v>
                </c:pt>
                <c:pt idx="7">
                  <c:v>0.56000000000000005</c:v>
                </c:pt>
                <c:pt idx="8">
                  <c:v>0.56999999999999995</c:v>
                </c:pt>
                <c:pt idx="9">
                  <c:v>0.65</c:v>
                </c:pt>
                <c:pt idx="10">
                  <c:v>0.79</c:v>
                </c:pt>
                <c:pt idx="11">
                  <c:v>0.8</c:v>
                </c:pt>
              </c:numCache>
            </c:numRef>
          </c:val>
          <c:extLst>
            <c:ext xmlns:c16="http://schemas.microsoft.com/office/drawing/2014/chart" uri="{C3380CC4-5D6E-409C-BE32-E72D297353CC}">
              <c16:uniqueId val="{00000002-1622-4990-8101-F6D4FE1DB77C}"/>
            </c:ext>
          </c:extLst>
        </c:ser>
        <c:ser>
          <c:idx val="2"/>
          <c:order val="2"/>
          <c:tx>
            <c:strRef>
              <c:f>'Musaffah Port'!$Q$40:$R$40</c:f>
              <c:strCache>
                <c:ptCount val="2"/>
                <c:pt idx="0">
                  <c:v>STORM_SURGE(m)</c:v>
                </c:pt>
                <c:pt idx="1">
                  <c:v>MAX</c:v>
                </c:pt>
              </c:strCache>
            </c:strRef>
          </c:tx>
          <c:spPr>
            <a:solidFill>
              <a:schemeClr val="accent3"/>
            </a:solidFill>
            <a:ln>
              <a:noFill/>
            </a:ln>
            <a:effectLst/>
          </c:spPr>
          <c:invertIfNegative val="0"/>
          <c:cat>
            <c:strRef>
              <c:f>'Musaffah Port'!$S$37:$AD$37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Port'!$S$40:$AD$40</c:f>
              <c:numCache>
                <c:formatCode>General</c:formatCode>
                <c:ptCount val="12"/>
                <c:pt idx="0">
                  <c:v>0.56000000000000005</c:v>
                </c:pt>
                <c:pt idx="1">
                  <c:v>0.5</c:v>
                </c:pt>
                <c:pt idx="2">
                  <c:v>0.44</c:v>
                </c:pt>
                <c:pt idx="3">
                  <c:v>0.56000000000000005</c:v>
                </c:pt>
                <c:pt idx="4">
                  <c:v>0.5</c:v>
                </c:pt>
                <c:pt idx="5">
                  <c:v>0.37</c:v>
                </c:pt>
                <c:pt idx="6">
                  <c:v>0.6</c:v>
                </c:pt>
                <c:pt idx="7">
                  <c:v>0.67</c:v>
                </c:pt>
                <c:pt idx="8">
                  <c:v>0.71</c:v>
                </c:pt>
                <c:pt idx="9">
                  <c:v>0.92</c:v>
                </c:pt>
                <c:pt idx="10">
                  <c:v>0.79</c:v>
                </c:pt>
                <c:pt idx="11">
                  <c:v>0.66</c:v>
                </c:pt>
              </c:numCache>
            </c:numRef>
          </c:val>
          <c:extLst>
            <c:ext xmlns:c16="http://schemas.microsoft.com/office/drawing/2014/chart" uri="{C3380CC4-5D6E-409C-BE32-E72D297353CC}">
              <c16:uniqueId val="{00000004-1622-4990-8101-F6D4FE1DB77C}"/>
            </c:ext>
          </c:extLst>
        </c:ser>
        <c:ser>
          <c:idx val="3"/>
          <c:order val="3"/>
          <c:tx>
            <c:strRef>
              <c:f>'Musaffah Port'!$Q$41:$R$41</c:f>
              <c:strCache>
                <c:ptCount val="2"/>
                <c:pt idx="0">
                  <c:v>TOTAL_WATER_LEVEL(m)</c:v>
                </c:pt>
                <c:pt idx="1">
                  <c:v>MAX</c:v>
                </c:pt>
              </c:strCache>
            </c:strRef>
          </c:tx>
          <c:spPr>
            <a:solidFill>
              <a:schemeClr val="accent4"/>
            </a:solidFill>
            <a:ln>
              <a:noFill/>
            </a:ln>
            <a:effectLst/>
          </c:spPr>
          <c:invertIfNegative val="0"/>
          <c:cat>
            <c:strRef>
              <c:f>'Musaffah Port'!$S$37:$AD$37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'Musaffah Port'!$S$41:$AD$41</c:f>
              <c:numCache>
                <c:formatCode>0.00</c:formatCode>
                <c:ptCount val="12"/>
                <c:pt idx="0">
                  <c:v>1.9884831169999999</c:v>
                </c:pt>
                <c:pt idx="1">
                  <c:v>1.7477648589999999</c:v>
                </c:pt>
                <c:pt idx="2">
                  <c:v>1.6062653979999999</c:v>
                </c:pt>
                <c:pt idx="3">
                  <c:v>1.6127105589999999</c:v>
                </c:pt>
                <c:pt idx="4">
                  <c:v>2.1761311000000001</c:v>
                </c:pt>
                <c:pt idx="5">
                  <c:v>1.718976206</c:v>
                </c:pt>
                <c:pt idx="6">
                  <c:v>2.0503336820000002</c:v>
                </c:pt>
                <c:pt idx="7">
                  <c:v>1.91678554</c:v>
                </c:pt>
                <c:pt idx="8">
                  <c:v>2.2479071990000001</c:v>
                </c:pt>
                <c:pt idx="9">
                  <c:v>2.1524295040000001</c:v>
                </c:pt>
                <c:pt idx="10">
                  <c:v>2.0313499450000001</c:v>
                </c:pt>
                <c:pt idx="11">
                  <c:v>1.907884935</c:v>
                </c:pt>
              </c:numCache>
            </c:numRef>
          </c:val>
          <c:extLst>
            <c:ext xmlns:c16="http://schemas.microsoft.com/office/drawing/2014/chart" uri="{C3380CC4-5D6E-409C-BE32-E72D297353CC}">
              <c16:uniqueId val="{00000006-1622-4990-8101-F6D4FE1DB77C}"/>
            </c:ext>
          </c:extLst>
        </c:ser>
        <c:dLbls>
          <c:showLegendKey val="0"/>
          <c:showVal val="0"/>
          <c:showCatName val="0"/>
          <c:showSerName val="0"/>
          <c:showPercent val="0"/>
          <c:showBubbleSize val="0"/>
        </c:dLbls>
        <c:gapWidth val="219"/>
        <c:overlap val="-27"/>
        <c:axId val="1085032456"/>
        <c:axId val="1085034504"/>
      </c:barChart>
      <c:catAx>
        <c:axId val="1085032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034504"/>
        <c:crosses val="autoZero"/>
        <c:auto val="1"/>
        <c:lblAlgn val="ctr"/>
        <c:lblOffset val="100"/>
        <c:noMultiLvlLbl val="0"/>
      </c:catAx>
      <c:valAx>
        <c:axId val="1085034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032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352425</xdr:colOff>
      <xdr:row>57</xdr:row>
      <xdr:rowOff>123825</xdr:rowOff>
    </xdr:from>
    <xdr:to>
      <xdr:col>14</xdr:col>
      <xdr:colOff>57150</xdr:colOff>
      <xdr:row>68</xdr:row>
      <xdr:rowOff>85725</xdr:rowOff>
    </xdr:to>
    <xdr:graphicFrame macro="">
      <xdr:nvGraphicFramePr>
        <xdr:cNvPr id="63" name="Chart 52">
          <a:extLst>
            <a:ext uri="{FF2B5EF4-FFF2-40B4-BE49-F238E27FC236}">
              <a16:creationId xmlns:a16="http://schemas.microsoft.com/office/drawing/2014/main" id="{F23F75C0-A108-9394-F2F3-3664E62D4C41}"/>
            </a:ext>
            <a:ext uri="{147F2762-F138-4A5C-976F-8EAC2B608ADB}">
              <a16:predDERef xmlns:a16="http://schemas.microsoft.com/office/drawing/2014/main" pred="{82B3897C-4C3F-7EF9-F621-9B16533C7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361950</xdr:colOff>
      <xdr:row>57</xdr:row>
      <xdr:rowOff>76200</xdr:rowOff>
    </xdr:from>
    <xdr:to>
      <xdr:col>19</xdr:col>
      <xdr:colOff>200025</xdr:colOff>
      <xdr:row>68</xdr:row>
      <xdr:rowOff>38100</xdr:rowOff>
    </xdr:to>
    <xdr:graphicFrame macro="">
      <xdr:nvGraphicFramePr>
        <xdr:cNvPr id="64" name="Chart 53">
          <a:extLst>
            <a:ext uri="{FF2B5EF4-FFF2-40B4-BE49-F238E27FC236}">
              <a16:creationId xmlns:a16="http://schemas.microsoft.com/office/drawing/2014/main" id="{DFA844FC-E5A5-8D4A-6629-C0443A2F6A44}"/>
            </a:ext>
            <a:ext uri="{147F2762-F138-4A5C-976F-8EAC2B608ADB}">
              <a16:predDERef xmlns:a16="http://schemas.microsoft.com/office/drawing/2014/main" pred="{F23F75C0-A108-9394-F2F3-3664E62D4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361950</xdr:colOff>
      <xdr:row>68</xdr:row>
      <xdr:rowOff>180975</xdr:rowOff>
    </xdr:from>
    <xdr:to>
      <xdr:col>19</xdr:col>
      <xdr:colOff>342900</xdr:colOff>
      <xdr:row>83</xdr:row>
      <xdr:rowOff>95250</xdr:rowOff>
    </xdr:to>
    <xdr:graphicFrame macro="">
      <xdr:nvGraphicFramePr>
        <xdr:cNvPr id="67" name="Chart 54">
          <a:extLst>
            <a:ext uri="{FF2B5EF4-FFF2-40B4-BE49-F238E27FC236}">
              <a16:creationId xmlns:a16="http://schemas.microsoft.com/office/drawing/2014/main" id="{2737BB86-6F38-7908-06CD-1C6B210471DD}"/>
            </a:ext>
            <a:ext uri="{147F2762-F138-4A5C-976F-8EAC2B608ADB}">
              <a16:predDERef xmlns:a16="http://schemas.microsoft.com/office/drawing/2014/main" pred="{DFA844FC-E5A5-8D4A-6629-C0443A2F6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352425</xdr:colOff>
      <xdr:row>68</xdr:row>
      <xdr:rowOff>161925</xdr:rowOff>
    </xdr:from>
    <xdr:to>
      <xdr:col>14</xdr:col>
      <xdr:colOff>57150</xdr:colOff>
      <xdr:row>83</xdr:row>
      <xdr:rowOff>9525</xdr:rowOff>
    </xdr:to>
    <xdr:graphicFrame macro="">
      <xdr:nvGraphicFramePr>
        <xdr:cNvPr id="58" name="Chart 55">
          <a:extLst>
            <a:ext uri="{FF2B5EF4-FFF2-40B4-BE49-F238E27FC236}">
              <a16:creationId xmlns:a16="http://schemas.microsoft.com/office/drawing/2014/main" id="{42CF5861-CEA3-0796-0D0C-2F6C89622BC5}"/>
            </a:ext>
            <a:ext uri="{147F2762-F138-4A5C-976F-8EAC2B608ADB}">
              <a16:predDERef xmlns:a16="http://schemas.microsoft.com/office/drawing/2014/main" pred="{2737BB86-6F38-7908-06CD-1C6B21047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323850</xdr:colOff>
      <xdr:row>25</xdr:row>
      <xdr:rowOff>76200</xdr:rowOff>
    </xdr:from>
    <xdr:to>
      <xdr:col>49</xdr:col>
      <xdr:colOff>19050</xdr:colOff>
      <xdr:row>38</xdr:row>
      <xdr:rowOff>114300</xdr:rowOff>
    </xdr:to>
    <xdr:graphicFrame macro="">
      <xdr:nvGraphicFramePr>
        <xdr:cNvPr id="134" name="Chart 72">
          <a:extLst>
            <a:ext uri="{FF2B5EF4-FFF2-40B4-BE49-F238E27FC236}">
              <a16:creationId xmlns:a16="http://schemas.microsoft.com/office/drawing/2014/main" id="{2E279B28-4725-9656-97DD-01FD26837E13}"/>
            </a:ext>
            <a:ext uri="{147F2762-F138-4A5C-976F-8EAC2B608ADB}">
              <a16:predDERef xmlns:a16="http://schemas.microsoft.com/office/drawing/2014/main" pred="{02B55C3A-F7D9-884F-C7FC-E6F535D72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438150</xdr:colOff>
      <xdr:row>11</xdr:row>
      <xdr:rowOff>57150</xdr:rowOff>
    </xdr:from>
    <xdr:to>
      <xdr:col>51</xdr:col>
      <xdr:colOff>133350</xdr:colOff>
      <xdr:row>25</xdr:row>
      <xdr:rowOff>57150</xdr:rowOff>
    </xdr:to>
    <xdr:graphicFrame macro="">
      <xdr:nvGraphicFramePr>
        <xdr:cNvPr id="135" name="Chart 77">
          <a:extLst>
            <a:ext uri="{FF2B5EF4-FFF2-40B4-BE49-F238E27FC236}">
              <a16:creationId xmlns:a16="http://schemas.microsoft.com/office/drawing/2014/main" id="{9E999533-78EE-799A-7E1D-1A87A514533F}"/>
            </a:ext>
            <a:ext uri="{147F2762-F138-4A5C-976F-8EAC2B608ADB}">
              <a16:predDERef xmlns:a16="http://schemas.microsoft.com/office/drawing/2014/main" pred="{B8886EAF-EC48-73BA-BC98-71C973D79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733425</xdr:colOff>
      <xdr:row>114</xdr:row>
      <xdr:rowOff>66675</xdr:rowOff>
    </xdr:from>
    <xdr:to>
      <xdr:col>21</xdr:col>
      <xdr:colOff>438150</xdr:colOff>
      <xdr:row>133</xdr:row>
      <xdr:rowOff>133350</xdr:rowOff>
    </xdr:to>
    <xdr:graphicFrame macro="">
      <xdr:nvGraphicFramePr>
        <xdr:cNvPr id="138" name="Chart 137">
          <a:extLst>
            <a:ext uri="{FF2B5EF4-FFF2-40B4-BE49-F238E27FC236}">
              <a16:creationId xmlns:a16="http://schemas.microsoft.com/office/drawing/2014/main" id="{477415F0-C3C9-8CF5-DAD8-FABD265AF3AB}"/>
            </a:ext>
            <a:ext uri="{147F2762-F138-4A5C-976F-8EAC2B608ADB}">
              <a16:predDERef xmlns:a16="http://schemas.microsoft.com/office/drawing/2014/main" pred="{9E999533-78EE-799A-7E1D-1A87A5145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419100</xdr:colOff>
      <xdr:row>99</xdr:row>
      <xdr:rowOff>57150</xdr:rowOff>
    </xdr:from>
    <xdr:to>
      <xdr:col>19</xdr:col>
      <xdr:colOff>828675</xdr:colOff>
      <xdr:row>114</xdr:row>
      <xdr:rowOff>47625</xdr:rowOff>
    </xdr:to>
    <xdr:graphicFrame macro="">
      <xdr:nvGraphicFramePr>
        <xdr:cNvPr id="139" name="Chart 138">
          <a:extLst>
            <a:ext uri="{FF2B5EF4-FFF2-40B4-BE49-F238E27FC236}">
              <a16:creationId xmlns:a16="http://schemas.microsoft.com/office/drawing/2014/main" id="{1A7DAF26-1066-83EE-E42C-AD56A8A14DDB}"/>
            </a:ext>
            <a:ext uri="{147F2762-F138-4A5C-976F-8EAC2B608ADB}">
              <a16:predDERef xmlns:a16="http://schemas.microsoft.com/office/drawing/2014/main" pred="{477415F0-C3C9-8CF5-DAD8-FABD265AF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828675</xdr:colOff>
      <xdr:row>99</xdr:row>
      <xdr:rowOff>219075</xdr:rowOff>
    </xdr:from>
    <xdr:to>
      <xdr:col>28</xdr:col>
      <xdr:colOff>171450</xdr:colOff>
      <xdr:row>115</xdr:row>
      <xdr:rowOff>104775</xdr:rowOff>
    </xdr:to>
    <xdr:graphicFrame macro="">
      <xdr:nvGraphicFramePr>
        <xdr:cNvPr id="140" name="Chart 139">
          <a:extLst>
            <a:ext uri="{FF2B5EF4-FFF2-40B4-BE49-F238E27FC236}">
              <a16:creationId xmlns:a16="http://schemas.microsoft.com/office/drawing/2014/main" id="{4FE7A76D-5D35-6F6C-3F59-972FEE90EE38}"/>
            </a:ext>
            <a:ext uri="{147F2762-F138-4A5C-976F-8EAC2B608ADB}">
              <a16:predDERef xmlns:a16="http://schemas.microsoft.com/office/drawing/2014/main" pred="{1A7DAF26-1066-83EE-E42C-AD56A8A14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400050</xdr:colOff>
      <xdr:row>38</xdr:row>
      <xdr:rowOff>0</xdr:rowOff>
    </xdr:from>
    <xdr:to>
      <xdr:col>30</xdr:col>
      <xdr:colOff>276225</xdr:colOff>
      <xdr:row>52</xdr:row>
      <xdr:rowOff>9525</xdr:rowOff>
    </xdr:to>
    <xdr:graphicFrame macro="">
      <xdr:nvGraphicFramePr>
        <xdr:cNvPr id="143" name="Chart 142">
          <a:extLst>
            <a:ext uri="{FF2B5EF4-FFF2-40B4-BE49-F238E27FC236}">
              <a16:creationId xmlns:a16="http://schemas.microsoft.com/office/drawing/2014/main" id="{CEA99F61-B2D2-0CC9-4530-F9927A78DB9F}"/>
            </a:ext>
            <a:ext uri="{147F2762-F138-4A5C-976F-8EAC2B608ADB}">
              <a16:predDERef xmlns:a16="http://schemas.microsoft.com/office/drawing/2014/main" pred="{4FE7A76D-5D35-6F6C-3F59-972FEE90E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54</xdr:col>
      <xdr:colOff>600075</xdr:colOff>
      <xdr:row>40</xdr:row>
      <xdr:rowOff>19050</xdr:rowOff>
    </xdr:from>
    <xdr:to>
      <xdr:col>62</xdr:col>
      <xdr:colOff>295275</xdr:colOff>
      <xdr:row>54</xdr:row>
      <xdr:rowOff>85725</xdr:rowOff>
    </xdr:to>
    <xdr:graphicFrame macro="">
      <xdr:nvGraphicFramePr>
        <xdr:cNvPr id="144" name="Chart 143">
          <a:extLst>
            <a:ext uri="{FF2B5EF4-FFF2-40B4-BE49-F238E27FC236}">
              <a16:creationId xmlns:a16="http://schemas.microsoft.com/office/drawing/2014/main" id="{CBF0621F-EE63-A2D2-A49B-5075B9FE633E}"/>
            </a:ext>
            <a:ext uri="{147F2762-F138-4A5C-976F-8EAC2B608ADB}">
              <a16:predDERef xmlns:a16="http://schemas.microsoft.com/office/drawing/2014/main" pred="{CEA99F61-B2D2-0CC9-4530-F9927A78D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857250</xdr:colOff>
      <xdr:row>21</xdr:row>
      <xdr:rowOff>161925</xdr:rowOff>
    </xdr:from>
    <xdr:to>
      <xdr:col>21</xdr:col>
      <xdr:colOff>342900</xdr:colOff>
      <xdr:row>35</xdr:row>
      <xdr:rowOff>85725</xdr:rowOff>
    </xdr:to>
    <xdr:graphicFrame macro="">
      <xdr:nvGraphicFramePr>
        <xdr:cNvPr id="2" name="Chart 1">
          <a:extLst>
            <a:ext uri="{FF2B5EF4-FFF2-40B4-BE49-F238E27FC236}">
              <a16:creationId xmlns:a16="http://schemas.microsoft.com/office/drawing/2014/main" id="{7BFA1783-4A8D-99FE-72DA-2B74294E22C4}"/>
            </a:ext>
            <a:ext uri="{147F2762-F138-4A5C-976F-8EAC2B608ADB}">
              <a16:predDERef xmlns:a16="http://schemas.microsoft.com/office/drawing/2014/main" pred="{CBF0621F-EE63-A2D2-A49B-5075B9FE63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323850</xdr:colOff>
      <xdr:row>24</xdr:row>
      <xdr:rowOff>152400</xdr:rowOff>
    </xdr:from>
    <xdr:to>
      <xdr:col>30</xdr:col>
      <xdr:colOff>409575</xdr:colOff>
      <xdr:row>38</xdr:row>
      <xdr:rowOff>57150</xdr:rowOff>
    </xdr:to>
    <xdr:graphicFrame macro="">
      <xdr:nvGraphicFramePr>
        <xdr:cNvPr id="3" name="Chart 2">
          <a:extLst>
            <a:ext uri="{FF2B5EF4-FFF2-40B4-BE49-F238E27FC236}">
              <a16:creationId xmlns:a16="http://schemas.microsoft.com/office/drawing/2014/main" id="{063F75F7-DEC4-0845-C1D9-EAC348A90154}"/>
            </a:ext>
            <a:ext uri="{147F2762-F138-4A5C-976F-8EAC2B608ADB}">
              <a16:predDERef xmlns:a16="http://schemas.microsoft.com/office/drawing/2014/main" pred="{7BFA1783-4A8D-99FE-72DA-2B74294E2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885825</xdr:colOff>
      <xdr:row>35</xdr:row>
      <xdr:rowOff>85725</xdr:rowOff>
    </xdr:from>
    <xdr:to>
      <xdr:col>21</xdr:col>
      <xdr:colOff>390525</xdr:colOff>
      <xdr:row>50</xdr:row>
      <xdr:rowOff>38100</xdr:rowOff>
    </xdr:to>
    <xdr:graphicFrame macro="">
      <xdr:nvGraphicFramePr>
        <xdr:cNvPr id="4" name="Chart 3">
          <a:extLst>
            <a:ext uri="{FF2B5EF4-FFF2-40B4-BE49-F238E27FC236}">
              <a16:creationId xmlns:a16="http://schemas.microsoft.com/office/drawing/2014/main" id="{CBE9E4AB-AE10-A2A1-D71C-2C036715F911}"/>
            </a:ext>
            <a:ext uri="{147F2762-F138-4A5C-976F-8EAC2B608ADB}">
              <a16:predDERef xmlns:a16="http://schemas.microsoft.com/office/drawing/2014/main" pred="{063F75F7-DEC4-0845-C1D9-EAC348A90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12C9F7-078A-4E48-9B92-1C7F683067AE}" name="Table5" displayName="Table5" ref="B13:I23" totalsRowShown="0" headerRowDxfId="60" dataDxfId="59" headerRowBorderDxfId="57" tableBorderDxfId="58">
  <autoFilter ref="B13:I23" xr:uid="{0012C9F7-078A-4E48-9B92-1C7F683067AE}"/>
  <tableColumns count="8">
    <tableColumn id="1" xr3:uid="{339D5F66-776A-4791-A154-C7FEC56CA9BA}" name="Paramteres" dataDxfId="56"/>
    <tableColumn id="2" xr3:uid="{FFF7FBEA-F7D9-4452-BD87-87131C5C971E}" name="Units" dataDxfId="55"/>
    <tableColumn id="3" xr3:uid="{CA473CFC-242D-438D-B3F8-DB1A71B8DA22}" name="1" dataDxfId="54"/>
    <tableColumn id="4" xr3:uid="{031FA84E-8D5B-4031-AACE-837F4981E35B}" name="10" dataDxfId="53"/>
    <tableColumn id="5" xr3:uid="{338DA0B8-0661-4BE6-8E39-5AFA76A97732}" name="50" dataDxfId="52"/>
    <tableColumn id="6" xr3:uid="{63081B4B-77FB-4ED1-84B6-F954FE711343}" name="100" dataDxfId="51"/>
    <tableColumn id="7" xr3:uid="{DCE1B369-480B-47C3-B04D-FFB3A7F442DD}" name="Column1" dataDxfId="50"/>
    <tableColumn id="8" xr3:uid="{D3F9F865-7AAC-4C18-BC36-A1202C64C838}" name="Method" dataDxfId="4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D5ECA1-95D8-46B5-BBDD-CCF8E247D22F}" name="ExceedanceProbability" displayName="ExceedanceProbability" ref="B101:N109" totalsRowShown="0" headerRowDxfId="48" dataDxfId="47" headerRowBorderDxfId="45" tableBorderDxfId="46" totalsRowBorderDxfId="44">
  <autoFilter ref="B101:N109" xr:uid="{5AD5ECA1-95D8-46B5-BBDD-CCF8E247D22F}"/>
  <tableColumns count="13">
    <tableColumn id="1" xr3:uid="{AA376CE5-E0F7-4294-BC10-9B35BA4DA35C}" name="Parameter" dataDxfId="43"/>
    <tableColumn id="2" xr3:uid="{B013DC15-CC25-469B-B303-512FFA970ED7}" name="Jan" dataDxfId="42"/>
    <tableColumn id="3" xr3:uid="{5757EE17-90C5-46CA-800F-CC91F07AC635}" name="Feb" dataDxfId="41"/>
    <tableColumn id="4" xr3:uid="{03193015-3C13-4EB7-AF11-F8B02A70E90D}" name="Mar" dataDxfId="40"/>
    <tableColumn id="5" xr3:uid="{49EFC068-174F-421C-9DF7-E03FB42FD749}" name="Apr" dataDxfId="39"/>
    <tableColumn id="6" xr3:uid="{AC66BC29-B28E-4D1D-9BB9-A97A9C937C5C}" name="May" dataDxfId="38"/>
    <tableColumn id="7" xr3:uid="{57B43203-93EB-435F-A14E-47094208F1E9}" name="Jun" dataDxfId="37"/>
    <tableColumn id="8" xr3:uid="{C4328E9B-C164-4667-8AED-2F08F403D73D}" name="Jul" dataDxfId="36"/>
    <tableColumn id="9" xr3:uid="{70E82489-CED3-4484-95D5-8B2D0944B461}" name="Aug" dataDxfId="35"/>
    <tableColumn id="10" xr3:uid="{1A312C65-7E07-44DE-B15C-CDF3D7640146}" name="Sep" dataDxfId="34"/>
    <tableColumn id="11" xr3:uid="{E2DE4AFD-7B6D-4A46-B263-33384783E9D9}" name="Oct" dataDxfId="33"/>
    <tableColumn id="12" xr3:uid="{5BB3F7C1-67B8-402E-B3EB-0434D973DCAD}" name="Nov" dataDxfId="32"/>
    <tableColumn id="13" xr3:uid="{28749D40-AE98-4A9F-97C9-ED29C4CFFED0}" name="Dec" dataDxfId="31"/>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B2CBDD-4880-4BE7-9DCF-1B3F2625400D}" name="Table54" displayName="Table54" ref="B37:I47" totalsRowShown="0" headerRowDxfId="27" dataDxfId="26">
  <autoFilter ref="B37:I47" xr:uid="{3CB2CBDD-4880-4BE7-9DCF-1B3F2625400D}"/>
  <tableColumns count="8">
    <tableColumn id="1" xr3:uid="{9AECC9EA-9DB8-4D48-AE19-53C6EE6CD8B0}" name="Paramteres" dataDxfId="25"/>
    <tableColumn id="2" xr3:uid="{1C6EA680-2C57-4EE6-9004-97B9440E8764}" name="Units" dataDxfId="24"/>
    <tableColumn id="3" xr3:uid="{314580CD-F990-45E8-9559-CF2B21CC965A}" name="1" dataDxfId="23"/>
    <tableColumn id="4" xr3:uid="{2D2050EA-2698-4A25-BFAC-349F0A09E6C5}" name="10" dataDxfId="22"/>
    <tableColumn id="5" xr3:uid="{832B694C-ACE9-4579-A6B3-82F2776FA0CE}" name="50" dataDxfId="21"/>
    <tableColumn id="6" xr3:uid="{4393F2BB-0A40-49BF-9C47-F52B6CB5CEFD}" name="100" dataDxfId="20"/>
    <tableColumn id="7" xr3:uid="{036438E2-2560-43AB-B3CA-792EF52DB85A}" name="Column1" dataDxfId="19"/>
    <tableColumn id="8" xr3:uid="{9B16F6D5-1B7B-4759-9041-FC8329595E9C}" name="Metod" dataDxfId="1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5601FF-E880-4A04-8221-00FE5F5713BC}" name="ExceedanceProbability3" displayName="ExceedanceProbability3" ref="B55:N63" totalsRowShown="0" headerRowDxfId="17" dataDxfId="16" headerRowBorderDxfId="14" tableBorderDxfId="15" totalsRowBorderDxfId="13">
  <autoFilter ref="B55:N63" xr:uid="{BD5601FF-E880-4A04-8221-00FE5F5713BC}"/>
  <tableColumns count="13">
    <tableColumn id="1" xr3:uid="{88DA7159-7BBF-47B6-9302-FC4A5B20067F}" name="Parameter" dataDxfId="12"/>
    <tableColumn id="2" xr3:uid="{F78C989C-F4F1-40EA-8B3A-AA2F51D9548E}" name="Jan" dataDxfId="11"/>
    <tableColumn id="3" xr3:uid="{9B7AC769-27E0-4D2C-A4EE-AF6DA4EB8B3C}" name="Feb" dataDxfId="10"/>
    <tableColumn id="4" xr3:uid="{7CB7389C-EC00-4C7F-B032-753133F07495}" name="Mar" dataDxfId="9"/>
    <tableColumn id="5" xr3:uid="{43624C9A-71EA-4D9A-B34B-A7ABD1BB9E05}" name="Apr" dataDxfId="8"/>
    <tableColumn id="6" xr3:uid="{CEF97284-3639-4973-827D-761414D81358}" name="May" dataDxfId="7"/>
    <tableColumn id="7" xr3:uid="{3822635D-D151-4CBB-8FAB-3B35073146B2}" name="Jun" dataDxfId="6"/>
    <tableColumn id="8" xr3:uid="{B6317B45-8F00-4201-B26A-7A6FE88EE347}" name="Jul" dataDxfId="5"/>
    <tableColumn id="9" xr3:uid="{867844E7-2108-420B-8596-0BE2FB7630CC}" name="Aug" dataDxfId="4"/>
    <tableColumn id="10" xr3:uid="{0C369999-BC1D-4628-8877-3574E8CF75EE}" name="Sep" dataDxfId="3"/>
    <tableColumn id="11" xr3:uid="{8DC05E65-8BE6-4C31-966D-D8CF34E51351}" name="Oct" dataDxfId="2"/>
    <tableColumn id="12" xr3:uid="{97EA0DC4-CE45-4269-B9A6-6D77A2F224A8}" name="Nov" dataDxfId="1"/>
    <tableColumn id="13" xr3:uid="{57B8768F-2DDA-45EE-B203-310CDD6E48B3}" name="Dec"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397E-3955-4325-9A8B-4F44026D02AD}">
  <dimension ref="B1:AE124"/>
  <sheetViews>
    <sheetView topLeftCell="A2" workbookViewId="0">
      <pane ySplit="7" topLeftCell="A19" activePane="bottomLeft" state="frozen"/>
      <selection pane="bottomLeft" activeCell="L116" sqref="L116"/>
    </sheetView>
  </sheetViews>
  <sheetFormatPr defaultRowHeight="15" customHeight="1"/>
  <cols>
    <col min="1" max="1" width="6.7109375" customWidth="1"/>
    <col min="2" max="2" width="34.28515625" customWidth="1"/>
    <col min="3" max="3" width="10.42578125" customWidth="1"/>
    <col min="4" max="4" width="12.42578125" customWidth="1"/>
    <col min="5" max="5" width="13" customWidth="1"/>
    <col min="6" max="6" width="13.28515625" customWidth="1"/>
    <col min="7" max="7" width="11.28515625" customWidth="1"/>
    <col min="8" max="14" width="10.42578125" customWidth="1"/>
    <col min="15" max="15" width="13.28515625" customWidth="1"/>
    <col min="16" max="17" width="14.28515625" customWidth="1"/>
    <col min="18" max="18" width="14.7109375" customWidth="1"/>
    <col min="19" max="20" width="14.42578125" customWidth="1"/>
    <col min="21" max="21" width="14.85546875" customWidth="1"/>
  </cols>
  <sheetData>
    <row r="1" spans="2:15"/>
    <row r="2" spans="2:15" ht="35.25" customHeight="1">
      <c r="B2" s="243"/>
      <c r="C2" s="244"/>
      <c r="D2" s="244"/>
      <c r="E2" s="244"/>
      <c r="F2" s="244"/>
      <c r="G2" s="244"/>
      <c r="H2" s="244"/>
      <c r="I2" s="244"/>
      <c r="J2" s="244"/>
      <c r="K2" s="244"/>
      <c r="L2" s="244"/>
      <c r="M2" s="244"/>
      <c r="N2" s="244"/>
      <c r="O2" s="245"/>
    </row>
    <row r="3" spans="2:15">
      <c r="B3" s="70"/>
      <c r="C3" s="46"/>
      <c r="D3" s="46"/>
      <c r="E3" s="46"/>
      <c r="F3" s="46"/>
      <c r="G3" s="46"/>
      <c r="H3" s="46"/>
      <c r="I3" s="46"/>
      <c r="J3" s="46"/>
      <c r="K3" s="46"/>
      <c r="L3" s="46"/>
      <c r="M3" s="46"/>
      <c r="N3" s="46"/>
      <c r="O3" s="71"/>
    </row>
    <row r="4" spans="2:15" ht="24.75" customHeight="1">
      <c r="B4" s="67"/>
      <c r="C4" s="68"/>
      <c r="D4" s="68"/>
      <c r="E4" s="68"/>
      <c r="F4" s="68"/>
      <c r="G4" s="68"/>
      <c r="H4" s="68" t="s">
        <v>0</v>
      </c>
      <c r="I4" s="68"/>
      <c r="J4" s="68"/>
      <c r="K4" s="68"/>
      <c r="L4" s="68"/>
      <c r="M4" s="68"/>
      <c r="N4" s="68"/>
      <c r="O4" s="69"/>
    </row>
    <row r="5" spans="2:15" ht="18.600000000000001" customHeight="1">
      <c r="B5" s="70"/>
      <c r="C5" s="46"/>
      <c r="D5" s="46"/>
      <c r="E5" s="46"/>
      <c r="F5" s="46"/>
      <c r="G5" s="46"/>
      <c r="H5" s="46"/>
      <c r="I5" s="46"/>
      <c r="J5" s="72"/>
      <c r="K5" s="46"/>
      <c r="L5" s="46"/>
      <c r="M5" s="46"/>
      <c r="N5" s="46"/>
      <c r="O5" s="71"/>
    </row>
    <row r="6" spans="2:15" ht="21.75" customHeight="1">
      <c r="B6" s="76"/>
      <c r="C6" s="47"/>
      <c r="D6" s="47"/>
      <c r="E6" s="47"/>
      <c r="F6" s="47"/>
      <c r="G6" s="45" t="s">
        <v>1</v>
      </c>
      <c r="H6" s="16"/>
      <c r="I6" s="16" t="s">
        <v>2</v>
      </c>
      <c r="J6" s="16"/>
      <c r="K6" s="16" t="s">
        <v>3</v>
      </c>
      <c r="L6" s="47"/>
      <c r="M6" s="47"/>
      <c r="N6" s="47"/>
      <c r="O6" s="77"/>
    </row>
    <row r="7" spans="2:15">
      <c r="B7" s="70"/>
      <c r="C7" s="46"/>
      <c r="D7" s="46"/>
      <c r="E7" s="46"/>
      <c r="F7" s="46"/>
      <c r="G7" s="73" t="s">
        <v>4</v>
      </c>
      <c r="H7" s="74"/>
      <c r="I7" s="74" t="s">
        <v>5</v>
      </c>
      <c r="J7" s="74"/>
      <c r="K7" s="75">
        <v>46113</v>
      </c>
      <c r="L7" s="46"/>
      <c r="M7" s="46"/>
      <c r="N7" s="46"/>
      <c r="O7" s="71"/>
    </row>
    <row r="8" spans="2:15">
      <c r="B8" s="78"/>
      <c r="C8" s="79"/>
      <c r="D8" s="79"/>
      <c r="E8" s="79"/>
      <c r="F8" s="79"/>
      <c r="G8" s="80"/>
      <c r="H8" s="80"/>
      <c r="I8" s="80" t="s">
        <v>6</v>
      </c>
      <c r="J8" s="80"/>
      <c r="K8" s="80"/>
      <c r="L8" s="79"/>
      <c r="M8" s="79"/>
      <c r="N8" s="79"/>
      <c r="O8" s="81"/>
    </row>
    <row r="9" spans="2:15">
      <c r="B9" s="35"/>
      <c r="C9" s="15"/>
      <c r="D9" s="15"/>
      <c r="E9" s="15"/>
      <c r="F9" s="15"/>
      <c r="G9" s="15"/>
      <c r="H9" s="15"/>
      <c r="I9" s="15"/>
      <c r="J9" s="15"/>
      <c r="K9" s="15"/>
      <c r="L9" s="15"/>
      <c r="M9" s="15"/>
      <c r="N9" s="15"/>
      <c r="O9" s="39"/>
    </row>
    <row r="10" spans="2:15" ht="24.75" customHeight="1">
      <c r="B10" s="48" t="s">
        <v>7</v>
      </c>
      <c r="C10" s="49"/>
      <c r="D10" s="49"/>
      <c r="E10" s="49"/>
      <c r="F10" s="49"/>
      <c r="G10" s="49"/>
      <c r="H10" s="49"/>
      <c r="I10" s="49"/>
      <c r="O10" s="38"/>
    </row>
    <row r="11" spans="2:15">
      <c r="B11" s="34"/>
      <c r="O11" s="38"/>
    </row>
    <row r="12" spans="2:15">
      <c r="B12" s="34"/>
      <c r="O12" s="38"/>
    </row>
    <row r="13" spans="2:15">
      <c r="B13" s="50" t="s">
        <v>8</v>
      </c>
      <c r="C13" s="51" t="s">
        <v>9</v>
      </c>
      <c r="D13" s="51" t="s">
        <v>10</v>
      </c>
      <c r="E13" s="51" t="s">
        <v>11</v>
      </c>
      <c r="F13" s="51" t="s">
        <v>12</v>
      </c>
      <c r="G13" s="51" t="s">
        <v>13</v>
      </c>
      <c r="H13" s="51" t="s">
        <v>14</v>
      </c>
      <c r="I13" s="51" t="s">
        <v>15</v>
      </c>
      <c r="O13" s="38"/>
    </row>
    <row r="14" spans="2:15" ht="16.149999999999999" customHeight="1">
      <c r="B14" s="64" t="s">
        <v>16</v>
      </c>
      <c r="C14" s="24" t="s">
        <v>17</v>
      </c>
      <c r="D14" s="23">
        <v>11.85</v>
      </c>
      <c r="E14" s="23">
        <v>12.83</v>
      </c>
      <c r="F14" s="23">
        <v>12.94</v>
      </c>
      <c r="G14" s="23">
        <v>12.96</v>
      </c>
      <c r="H14" s="17"/>
      <c r="I14" s="17" t="s">
        <v>18</v>
      </c>
      <c r="O14" s="38"/>
    </row>
    <row r="15" spans="2:15" ht="16.149999999999999" customHeight="1">
      <c r="B15" s="65" t="s">
        <v>19</v>
      </c>
      <c r="C15" s="25" t="s">
        <v>17</v>
      </c>
      <c r="D15" s="21">
        <v>17.920000000000002</v>
      </c>
      <c r="E15" s="21">
        <v>18.98</v>
      </c>
      <c r="F15" s="21">
        <v>19.559999999999999</v>
      </c>
      <c r="G15" s="21">
        <v>19.73</v>
      </c>
      <c r="H15" s="18"/>
      <c r="I15" s="18" t="s">
        <v>18</v>
      </c>
      <c r="O15" s="38"/>
    </row>
    <row r="16" spans="2:15" ht="16.149999999999999" customHeight="1">
      <c r="B16" s="66" t="s">
        <v>20</v>
      </c>
      <c r="C16" s="26" t="s">
        <v>21</v>
      </c>
      <c r="D16" s="20">
        <v>1.31</v>
      </c>
      <c r="E16" s="20">
        <v>1.41</v>
      </c>
      <c r="F16" s="20">
        <v>1.51</v>
      </c>
      <c r="G16" s="20">
        <v>1.55</v>
      </c>
      <c r="H16" s="19"/>
      <c r="I16" s="19" t="s">
        <v>22</v>
      </c>
      <c r="O16" s="38"/>
    </row>
    <row r="17" spans="2:31" ht="16.149999999999999" customHeight="1">
      <c r="B17" s="65" t="s">
        <v>23</v>
      </c>
      <c r="C17" s="25" t="s">
        <v>24</v>
      </c>
      <c r="D17" s="21">
        <v>8.1999999999999993</v>
      </c>
      <c r="E17" s="21">
        <v>8.3000000000000007</v>
      </c>
      <c r="F17" s="21">
        <v>8.35</v>
      </c>
      <c r="G17" s="21">
        <v>8.35</v>
      </c>
      <c r="H17" s="18"/>
      <c r="I17" s="18" t="s">
        <v>18</v>
      </c>
      <c r="O17" s="38"/>
    </row>
    <row r="18" spans="2:31" ht="16.149999999999999" customHeight="1">
      <c r="B18" s="66" t="s">
        <v>25</v>
      </c>
      <c r="C18" s="26" t="s">
        <v>21</v>
      </c>
      <c r="D18" s="20">
        <v>0.76</v>
      </c>
      <c r="E18" s="20">
        <v>0.81</v>
      </c>
      <c r="F18" s="20">
        <v>0.83</v>
      </c>
      <c r="G18" s="20">
        <v>0.84</v>
      </c>
      <c r="H18" s="19"/>
      <c r="I18" s="19" t="s">
        <v>22</v>
      </c>
      <c r="O18" s="38"/>
    </row>
    <row r="19" spans="2:31" ht="16.149999999999999" customHeight="1">
      <c r="B19" s="65" t="s">
        <v>26</v>
      </c>
      <c r="C19" s="25" t="s">
        <v>24</v>
      </c>
      <c r="D19" s="21">
        <v>7.95</v>
      </c>
      <c r="E19" s="21">
        <v>8.4</v>
      </c>
      <c r="F19" s="21">
        <v>8.6</v>
      </c>
      <c r="G19" s="21">
        <v>8.66</v>
      </c>
      <c r="H19" s="18"/>
      <c r="I19" s="18" t="s">
        <v>18</v>
      </c>
      <c r="O19" s="38"/>
    </row>
    <row r="20" spans="2:31" ht="16.149999999999999" customHeight="1">
      <c r="B20" s="66" t="s">
        <v>27</v>
      </c>
      <c r="C20" s="26" t="s">
        <v>17</v>
      </c>
      <c r="D20" s="20">
        <v>0.17</v>
      </c>
      <c r="E20" s="20">
        <v>0.252</v>
      </c>
      <c r="F20" s="20">
        <v>0.46600000000000003</v>
      </c>
      <c r="G20" s="20">
        <v>0.67900000000000005</v>
      </c>
      <c r="H20" s="19"/>
      <c r="I20" s="19" t="s">
        <v>22</v>
      </c>
      <c r="O20" s="38"/>
    </row>
    <row r="21" spans="2:31" ht="16.149999999999999" customHeight="1">
      <c r="B21" s="65" t="s">
        <v>28</v>
      </c>
      <c r="C21" s="25" t="s">
        <v>21</v>
      </c>
      <c r="D21" s="22">
        <v>0.4844</v>
      </c>
      <c r="E21" s="22">
        <v>0.76200000000000001</v>
      </c>
      <c r="F21" s="22">
        <v>0.86829999999999996</v>
      </c>
      <c r="G21" s="22">
        <v>0.91010000000000002</v>
      </c>
      <c r="H21" s="18"/>
      <c r="I21" s="18" t="s">
        <v>22</v>
      </c>
      <c r="O21" s="38"/>
    </row>
    <row r="22" spans="2:31">
      <c r="B22" s="66" t="s">
        <v>29</v>
      </c>
      <c r="C22" s="26" t="s">
        <v>21</v>
      </c>
      <c r="D22" s="20">
        <v>1.5740000000000001</v>
      </c>
      <c r="E22" s="20">
        <v>1.81</v>
      </c>
      <c r="F22" s="20">
        <v>1.95</v>
      </c>
      <c r="G22" s="20">
        <v>2.0099999999999998</v>
      </c>
      <c r="H22" s="19"/>
      <c r="I22" s="19" t="s">
        <v>18</v>
      </c>
      <c r="K22" s="44" t="s">
        <v>30</v>
      </c>
      <c r="O22" s="38"/>
    </row>
    <row r="23" spans="2:31">
      <c r="B23" s="65" t="s">
        <v>31</v>
      </c>
      <c r="C23" s="25" t="s">
        <v>21</v>
      </c>
      <c r="D23" s="21">
        <v>2.42</v>
      </c>
      <c r="E23" s="21">
        <v>2.7</v>
      </c>
      <c r="F23" s="21">
        <v>2.81</v>
      </c>
      <c r="G23" s="21">
        <v>2.85</v>
      </c>
      <c r="H23" s="18"/>
      <c r="I23" s="18" t="s">
        <v>18</v>
      </c>
      <c r="K23" s="44" t="s">
        <v>32</v>
      </c>
      <c r="O23" s="38"/>
    </row>
    <row r="24" spans="2:31">
      <c r="B24" s="34"/>
      <c r="O24" s="38"/>
    </row>
    <row r="25" spans="2:31">
      <c r="B25" s="34"/>
      <c r="O25" s="38"/>
    </row>
    <row r="26" spans="2:31" ht="24.75" customHeight="1">
      <c r="B26" s="48" t="s">
        <v>33</v>
      </c>
      <c r="C26" s="49"/>
      <c r="D26" s="49"/>
      <c r="E26" s="49"/>
      <c r="F26" s="49"/>
      <c r="G26" s="49"/>
      <c r="H26" s="49"/>
      <c r="I26" s="49"/>
      <c r="O26" s="38"/>
    </row>
    <row r="27" spans="2:31" ht="15" customHeight="1">
      <c r="B27" s="34"/>
      <c r="O27" s="38"/>
    </row>
    <row r="28" spans="2:31" ht="16.149999999999999" customHeight="1">
      <c r="B28" s="52" t="s">
        <v>34</v>
      </c>
      <c r="C28" s="53" t="s">
        <v>35</v>
      </c>
      <c r="D28" s="53" t="s">
        <v>36</v>
      </c>
      <c r="E28" s="53" t="s">
        <v>37</v>
      </c>
      <c r="F28" s="53" t="s">
        <v>38</v>
      </c>
      <c r="G28" s="53" t="s">
        <v>39</v>
      </c>
      <c r="H28" s="53" t="s">
        <v>40</v>
      </c>
      <c r="I28" s="53" t="s">
        <v>41</v>
      </c>
      <c r="J28" s="53" t="s">
        <v>42</v>
      </c>
      <c r="K28" s="53" t="s">
        <v>43</v>
      </c>
      <c r="L28" s="53" t="s">
        <v>44</v>
      </c>
      <c r="M28" s="53" t="s">
        <v>45</v>
      </c>
      <c r="N28" s="53" t="s">
        <v>46</v>
      </c>
      <c r="O28" s="169" t="s">
        <v>47</v>
      </c>
    </row>
    <row r="29" spans="2:31" ht="16.149999999999999" customHeight="1">
      <c r="B29" s="95"/>
      <c r="C29" s="24" t="s">
        <v>48</v>
      </c>
      <c r="D29" s="23">
        <v>5.95</v>
      </c>
      <c r="E29" s="23">
        <v>6.837885</v>
      </c>
      <c r="F29" s="23">
        <v>7.0969660000000001</v>
      </c>
      <c r="G29" s="23">
        <v>6.4966719399999997</v>
      </c>
      <c r="H29" s="23">
        <v>6.8620344900000001</v>
      </c>
      <c r="I29" s="23">
        <v>6.43076782999999</v>
      </c>
      <c r="J29" s="23">
        <v>5.9533238300000004</v>
      </c>
      <c r="K29" s="23">
        <v>5.6617265999999997</v>
      </c>
      <c r="L29" s="23">
        <v>5.3609979499999998</v>
      </c>
      <c r="M29" s="23">
        <v>5.0316601800000003</v>
      </c>
      <c r="N29" s="23">
        <v>5.1766707600000004</v>
      </c>
      <c r="O29" s="40">
        <v>5.3803350500000002</v>
      </c>
      <c r="R29" s="119"/>
      <c r="S29" s="119"/>
      <c r="T29" s="119"/>
      <c r="U29" s="119"/>
      <c r="V29" s="119"/>
      <c r="W29" s="119"/>
      <c r="X29" s="119"/>
      <c r="Y29" s="119"/>
      <c r="Z29" s="119"/>
      <c r="AA29" s="119"/>
      <c r="AB29" s="119"/>
      <c r="AC29" s="119"/>
    </row>
    <row r="30" spans="2:31" ht="16.149999999999999" customHeight="1">
      <c r="B30" s="97" t="s">
        <v>49</v>
      </c>
      <c r="C30" s="26" t="s">
        <v>50</v>
      </c>
      <c r="D30" s="20">
        <v>7.10404162499999</v>
      </c>
      <c r="E30" s="20">
        <v>7.9522697500000001</v>
      </c>
      <c r="F30" s="20">
        <v>8.2261702499999991</v>
      </c>
      <c r="G30" s="20">
        <v>7.5254352750000004</v>
      </c>
      <c r="H30" s="20">
        <v>7.9208573949999899</v>
      </c>
      <c r="I30" s="20">
        <v>7.5949865999999897</v>
      </c>
      <c r="J30" s="20">
        <v>6.9608695849999904</v>
      </c>
      <c r="K30" s="20">
        <v>6.3705821899999897</v>
      </c>
      <c r="L30" s="20">
        <v>6.0231546149999904</v>
      </c>
      <c r="M30" s="20">
        <v>5.6816864949999903</v>
      </c>
      <c r="N30" s="20">
        <v>6.0212996499999898</v>
      </c>
      <c r="O30" s="41">
        <v>6.2791587999999896</v>
      </c>
      <c r="Q30" s="147"/>
      <c r="R30" s="147"/>
      <c r="S30" s="173" t="s">
        <v>36</v>
      </c>
      <c r="T30" s="173" t="s">
        <v>37</v>
      </c>
      <c r="U30" s="173" t="s">
        <v>38</v>
      </c>
      <c r="V30" s="173" t="s">
        <v>39</v>
      </c>
      <c r="W30" s="173" t="s">
        <v>40</v>
      </c>
      <c r="X30" s="173" t="s">
        <v>41</v>
      </c>
      <c r="Y30" s="173" t="s">
        <v>42</v>
      </c>
      <c r="Z30" s="173" t="s">
        <v>43</v>
      </c>
      <c r="AA30" s="173" t="s">
        <v>44</v>
      </c>
      <c r="AB30" s="173" t="s">
        <v>45</v>
      </c>
      <c r="AC30" s="173" t="s">
        <v>46</v>
      </c>
      <c r="AD30" s="174" t="s">
        <v>47</v>
      </c>
      <c r="AE30" s="150"/>
    </row>
    <row r="31" spans="2:31" ht="16.149999999999999" customHeight="1">
      <c r="B31" s="104"/>
      <c r="C31" s="82" t="s">
        <v>51</v>
      </c>
      <c r="D31" s="83">
        <v>12.891303000000001</v>
      </c>
      <c r="E31" s="83">
        <v>12.964304</v>
      </c>
      <c r="F31" s="83">
        <v>12.817064999999999</v>
      </c>
      <c r="G31" s="83">
        <v>11.590629</v>
      </c>
      <c r="H31" s="83">
        <v>11.811628000000001</v>
      </c>
      <c r="I31" s="83">
        <v>12.110060000000001</v>
      </c>
      <c r="J31" s="83">
        <v>11.241687000000001</v>
      </c>
      <c r="K31" s="83">
        <v>11.053838000000001</v>
      </c>
      <c r="L31" s="83">
        <v>9.6957900000000006</v>
      </c>
      <c r="M31" s="83">
        <v>9.1447280000000006</v>
      </c>
      <c r="N31" s="83">
        <v>10.667596</v>
      </c>
      <c r="O31" s="84">
        <v>10.832967</v>
      </c>
      <c r="Q31" s="147" t="s">
        <v>49</v>
      </c>
      <c r="R31" s="148" t="s">
        <v>51</v>
      </c>
      <c r="S31" s="149">
        <v>12.89</v>
      </c>
      <c r="T31" s="149">
        <v>12.96</v>
      </c>
      <c r="U31" s="149">
        <v>12.82</v>
      </c>
      <c r="V31" s="149">
        <v>11.59</v>
      </c>
      <c r="W31" s="149">
        <v>11.81</v>
      </c>
      <c r="X31" s="149">
        <v>12.11</v>
      </c>
      <c r="Y31" s="149">
        <v>11.24</v>
      </c>
      <c r="Z31" s="149">
        <v>11.05</v>
      </c>
      <c r="AA31" s="149">
        <v>9.6999999999999993</v>
      </c>
      <c r="AB31" s="149">
        <v>9.14</v>
      </c>
      <c r="AC31" s="149">
        <v>10.67</v>
      </c>
      <c r="AD31" s="150">
        <v>10.83</v>
      </c>
      <c r="AE31" s="153"/>
    </row>
    <row r="32" spans="2:31" ht="16.149999999999999" customHeight="1">
      <c r="B32" s="105"/>
      <c r="C32" s="85" t="s">
        <v>48</v>
      </c>
      <c r="D32" s="86">
        <v>0.68516756999999995</v>
      </c>
      <c r="E32" s="86">
        <v>0.81197601499999905</v>
      </c>
      <c r="F32" s="86">
        <v>0.75037085000000003</v>
      </c>
      <c r="G32" s="86">
        <v>0.62048126400000003</v>
      </c>
      <c r="H32" s="86">
        <v>0.65163587199999995</v>
      </c>
      <c r="I32" s="86">
        <v>0.59436228999999996</v>
      </c>
      <c r="J32" s="86">
        <v>0.48742306200000002</v>
      </c>
      <c r="K32" s="86">
        <v>0.42780941500000003</v>
      </c>
      <c r="L32" s="86">
        <v>0.40394845499999898</v>
      </c>
      <c r="M32" s="86">
        <v>0.40739004600000001</v>
      </c>
      <c r="N32" s="86">
        <v>0.58785156999999899</v>
      </c>
      <c r="O32" s="87">
        <v>0.59475644000000005</v>
      </c>
      <c r="AE32" s="156"/>
    </row>
    <row r="33" spans="2:31" ht="16.149999999999999" customHeight="1">
      <c r="B33" s="96" t="s">
        <v>52</v>
      </c>
      <c r="C33" s="25" t="s">
        <v>50</v>
      </c>
      <c r="D33" s="21">
        <v>0.85385597999999896</v>
      </c>
      <c r="E33" s="21">
        <v>0.94470841250000004</v>
      </c>
      <c r="F33" s="21">
        <v>0.890956634999999</v>
      </c>
      <c r="G33" s="21">
        <v>0.79289084099999896</v>
      </c>
      <c r="H33" s="21">
        <v>0.77551771999999997</v>
      </c>
      <c r="I33" s="21">
        <v>0.74202115799999802</v>
      </c>
      <c r="J33" s="21">
        <v>0.61027369049999902</v>
      </c>
      <c r="K33" s="21">
        <v>0.48103400499999899</v>
      </c>
      <c r="L33" s="21">
        <v>0.46221564499999901</v>
      </c>
      <c r="M33" s="21">
        <v>0.47449465499999999</v>
      </c>
      <c r="N33" s="21">
        <v>0.72486725299999899</v>
      </c>
      <c r="O33" s="42">
        <v>0.71433936499999895</v>
      </c>
      <c r="Q33" s="147"/>
      <c r="R33" s="147"/>
      <c r="S33" s="147"/>
      <c r="T33" s="147"/>
      <c r="U33" s="147"/>
      <c r="V33" s="147"/>
      <c r="W33" s="147"/>
      <c r="X33" s="147"/>
      <c r="Y33" s="147"/>
      <c r="Z33" s="147"/>
      <c r="AA33" s="147"/>
      <c r="AB33" s="147"/>
      <c r="AC33" s="147"/>
      <c r="AD33" s="147"/>
      <c r="AE33" s="159"/>
    </row>
    <row r="34" spans="2:31" ht="16.149999999999999" customHeight="1">
      <c r="B34" s="106"/>
      <c r="C34" s="88" t="s">
        <v>51</v>
      </c>
      <c r="D34" s="89">
        <v>1.3483429</v>
      </c>
      <c r="E34" s="89">
        <v>1.30548</v>
      </c>
      <c r="F34" s="89">
        <v>1.4609890000000001</v>
      </c>
      <c r="G34" s="89">
        <v>1.3032836999999999</v>
      </c>
      <c r="H34" s="89">
        <v>1.2284861</v>
      </c>
      <c r="I34" s="89">
        <v>1.2510308999999999</v>
      </c>
      <c r="J34" s="89">
        <v>1.1588754999999999</v>
      </c>
      <c r="K34" s="89">
        <v>1.0916872</v>
      </c>
      <c r="L34" s="89">
        <v>1.0187807</v>
      </c>
      <c r="M34" s="89">
        <v>0.91669679999999998</v>
      </c>
      <c r="N34" s="89">
        <v>1.2661408999999999</v>
      </c>
      <c r="O34" s="90">
        <v>1.282033</v>
      </c>
      <c r="Q34" s="147"/>
      <c r="R34" s="147"/>
      <c r="S34" s="173" t="s">
        <v>36</v>
      </c>
      <c r="T34" s="173" t="s">
        <v>37</v>
      </c>
      <c r="U34" s="173" t="s">
        <v>38</v>
      </c>
      <c r="V34" s="173" t="s">
        <v>39</v>
      </c>
      <c r="W34" s="173" t="s">
        <v>40</v>
      </c>
      <c r="X34" s="173" t="s">
        <v>41</v>
      </c>
      <c r="Y34" s="173" t="s">
        <v>42</v>
      </c>
      <c r="Z34" s="173" t="s">
        <v>43</v>
      </c>
      <c r="AA34" s="173" t="s">
        <v>44</v>
      </c>
      <c r="AB34" s="173" t="s">
        <v>45</v>
      </c>
      <c r="AC34" s="173" t="s">
        <v>46</v>
      </c>
      <c r="AD34" s="174" t="s">
        <v>47</v>
      </c>
      <c r="AE34" s="156"/>
    </row>
    <row r="35" spans="2:31" ht="16.149999999999999" customHeight="1">
      <c r="B35" s="107"/>
      <c r="C35" s="91" t="s">
        <v>48</v>
      </c>
      <c r="D35" s="92">
        <v>6.4257583</v>
      </c>
      <c r="E35" s="92">
        <v>6.8257826999999898</v>
      </c>
      <c r="F35" s="92">
        <v>6.3854996100000001</v>
      </c>
      <c r="G35" s="92">
        <v>5.7060073600000001</v>
      </c>
      <c r="H35" s="92">
        <v>5.8377943999999999</v>
      </c>
      <c r="I35" s="92">
        <v>6.1621597099999903</v>
      </c>
      <c r="J35" s="92">
        <v>5.3562514999999999</v>
      </c>
      <c r="K35" s="92">
        <v>4.0361831300000004</v>
      </c>
      <c r="L35" s="92">
        <v>4.4357195000000003</v>
      </c>
      <c r="M35" s="92">
        <v>5.3278091999999999</v>
      </c>
      <c r="N35" s="92">
        <v>6.2694839699999996</v>
      </c>
      <c r="O35" s="93">
        <v>6.2309585199999997</v>
      </c>
      <c r="Q35" s="147" t="s">
        <v>53</v>
      </c>
      <c r="R35" s="157" t="s">
        <v>51</v>
      </c>
      <c r="S35" s="158">
        <v>0.17</v>
      </c>
      <c r="T35" s="158">
        <v>0.17</v>
      </c>
      <c r="U35" s="158">
        <v>0.18</v>
      </c>
      <c r="V35" s="158">
        <v>0.18</v>
      </c>
      <c r="W35" s="158">
        <v>0.19</v>
      </c>
      <c r="X35" s="158">
        <v>0.21</v>
      </c>
      <c r="Y35" s="158">
        <v>0.18</v>
      </c>
      <c r="Z35" s="158">
        <v>0.17</v>
      </c>
      <c r="AA35" s="158">
        <v>0.15</v>
      </c>
      <c r="AB35" s="158">
        <v>0.15</v>
      </c>
      <c r="AC35" s="158">
        <v>0.15</v>
      </c>
      <c r="AD35" s="159">
        <v>0.16</v>
      </c>
      <c r="AE35" s="159"/>
    </row>
    <row r="36" spans="2:31" ht="16.149999999999999" customHeight="1">
      <c r="B36" s="97" t="s">
        <v>54</v>
      </c>
      <c r="C36" s="26" t="s">
        <v>50</v>
      </c>
      <c r="D36" s="20">
        <v>6.8606949999999998</v>
      </c>
      <c r="E36" s="20">
        <v>7.34629055</v>
      </c>
      <c r="F36" s="20">
        <v>6.924317855</v>
      </c>
      <c r="G36" s="20">
        <v>6.2828385499999904</v>
      </c>
      <c r="H36" s="20">
        <v>6.2470717899999997</v>
      </c>
      <c r="I36" s="20">
        <v>6.4022966500000003</v>
      </c>
      <c r="J36" s="20">
        <v>5.9327163849999902</v>
      </c>
      <c r="K36" s="20">
        <v>5.5009535499999904</v>
      </c>
      <c r="L36" s="20">
        <v>5.4450698999999902</v>
      </c>
      <c r="M36" s="20">
        <v>6.0498428649999898</v>
      </c>
      <c r="N36" s="20">
        <v>6.8563248100000003</v>
      </c>
      <c r="O36" s="41">
        <v>6.6114516999999902</v>
      </c>
      <c r="Q36" s="147"/>
      <c r="R36" s="147"/>
      <c r="S36" s="147"/>
      <c r="T36" s="147"/>
      <c r="U36" s="147"/>
      <c r="V36" s="147"/>
      <c r="W36" s="147"/>
      <c r="X36" s="147"/>
      <c r="Y36" s="147"/>
      <c r="Z36" s="147"/>
      <c r="AA36" s="147"/>
      <c r="AB36" s="147"/>
      <c r="AC36" s="147"/>
      <c r="AD36" s="147"/>
      <c r="AE36" s="162"/>
    </row>
    <row r="37" spans="2:31" ht="16.149999999999999" customHeight="1">
      <c r="B37" s="108"/>
      <c r="C37" s="98" t="s">
        <v>51</v>
      </c>
      <c r="D37" s="99">
        <v>8.2034680000000009</v>
      </c>
      <c r="E37" s="99">
        <v>8.3533709999999992</v>
      </c>
      <c r="F37" s="99">
        <v>8.2718279999999993</v>
      </c>
      <c r="G37" s="99">
        <v>7.5965347000000003</v>
      </c>
      <c r="H37" s="99">
        <v>7.4412612999999999</v>
      </c>
      <c r="I37" s="99">
        <v>7.9217300000000002</v>
      </c>
      <c r="J37" s="99">
        <v>7.5262219999999997</v>
      </c>
      <c r="K37" s="99">
        <v>6.7093277000000002</v>
      </c>
      <c r="L37" s="99">
        <v>7.600441</v>
      </c>
      <c r="M37" s="99">
        <v>7.7249527000000002</v>
      </c>
      <c r="N37" s="99">
        <v>8.2332535</v>
      </c>
      <c r="O37" s="100">
        <v>8.3323750000000008</v>
      </c>
      <c r="P37" s="1"/>
      <c r="Q37" s="147"/>
      <c r="R37" s="147"/>
      <c r="S37" s="173" t="s">
        <v>36</v>
      </c>
      <c r="T37" s="173" t="s">
        <v>37</v>
      </c>
      <c r="U37" s="173" t="s">
        <v>38</v>
      </c>
      <c r="V37" s="173" t="s">
        <v>39</v>
      </c>
      <c r="W37" s="173" t="s">
        <v>40</v>
      </c>
      <c r="X37" s="173" t="s">
        <v>41</v>
      </c>
      <c r="Y37" s="173" t="s">
        <v>42</v>
      </c>
      <c r="Z37" s="173" t="s">
        <v>43</v>
      </c>
      <c r="AA37" s="173" t="s">
        <v>44</v>
      </c>
      <c r="AB37" s="173" t="s">
        <v>45</v>
      </c>
      <c r="AC37" s="173" t="s">
        <v>46</v>
      </c>
      <c r="AD37" s="174" t="s">
        <v>47</v>
      </c>
    </row>
    <row r="38" spans="2:31" ht="16.149999999999999" customHeight="1">
      <c r="B38" s="105"/>
      <c r="C38" s="85" t="s">
        <v>48</v>
      </c>
      <c r="D38" s="86">
        <v>0.471667483</v>
      </c>
      <c r="E38" s="86">
        <v>0.51243839999999996</v>
      </c>
      <c r="F38" s="86">
        <v>0.46730941999999998</v>
      </c>
      <c r="G38" s="86">
        <v>0.386743165</v>
      </c>
      <c r="H38" s="86">
        <v>0.39704590200000001</v>
      </c>
      <c r="I38" s="86">
        <v>0.39442138700000001</v>
      </c>
      <c r="J38" s="86">
        <v>0.31628309500000001</v>
      </c>
      <c r="K38" s="86">
        <v>0.288240208</v>
      </c>
      <c r="L38" s="86">
        <v>0.28919310100000001</v>
      </c>
      <c r="M38" s="86">
        <v>0.30795867700000001</v>
      </c>
      <c r="N38" s="86">
        <v>0.43133838499999999</v>
      </c>
      <c r="O38" s="87">
        <v>0.44244832099999998</v>
      </c>
      <c r="P38" s="1"/>
      <c r="Q38" s="147" t="s">
        <v>52</v>
      </c>
      <c r="R38" s="151" t="s">
        <v>51</v>
      </c>
      <c r="S38" s="152">
        <v>1.35</v>
      </c>
      <c r="T38" s="152">
        <v>1.31</v>
      </c>
      <c r="U38" s="152">
        <v>1.46</v>
      </c>
      <c r="V38" s="152">
        <v>1.3</v>
      </c>
      <c r="W38" s="152">
        <v>1.23</v>
      </c>
      <c r="X38" s="152">
        <v>1.25</v>
      </c>
      <c r="Y38" s="152">
        <v>1.1599999999999999</v>
      </c>
      <c r="Z38" s="152">
        <v>1.0900000000000001</v>
      </c>
      <c r="AA38" s="152">
        <v>1.02</v>
      </c>
      <c r="AB38" s="152">
        <v>0.92</v>
      </c>
      <c r="AC38" s="152">
        <v>1.27</v>
      </c>
      <c r="AD38" s="153">
        <v>1.28</v>
      </c>
    </row>
    <row r="39" spans="2:31" ht="16.149999999999999" customHeight="1">
      <c r="B39" s="96" t="s">
        <v>55</v>
      </c>
      <c r="C39" s="25" t="s">
        <v>50</v>
      </c>
      <c r="D39" s="21">
        <v>0.53380737649999899</v>
      </c>
      <c r="E39" s="21">
        <v>0.59301760000000003</v>
      </c>
      <c r="F39" s="21">
        <v>0.55019145599999897</v>
      </c>
      <c r="G39" s="21">
        <v>0.46735077149999998</v>
      </c>
      <c r="H39" s="21">
        <v>0.46816485949999898</v>
      </c>
      <c r="I39" s="21">
        <v>0.452131055</v>
      </c>
      <c r="J39" s="21">
        <v>0.377791505999999</v>
      </c>
      <c r="K39" s="21">
        <v>0.31713256649999899</v>
      </c>
      <c r="L39" s="21">
        <v>0.32306508249999999</v>
      </c>
      <c r="M39" s="21">
        <v>0.354002499999999</v>
      </c>
      <c r="N39" s="21">
        <v>0.514288305</v>
      </c>
      <c r="O39" s="42">
        <v>0.49861450549999897</v>
      </c>
      <c r="P39" s="1"/>
      <c r="Q39" s="147" t="s">
        <v>55</v>
      </c>
      <c r="R39" s="157" t="s">
        <v>51</v>
      </c>
      <c r="S39" s="158">
        <v>0.77</v>
      </c>
      <c r="T39" s="158">
        <v>0.81</v>
      </c>
      <c r="U39" s="158">
        <v>0.78</v>
      </c>
      <c r="V39" s="158">
        <v>0.72</v>
      </c>
      <c r="W39" s="158">
        <v>0.7</v>
      </c>
      <c r="X39" s="158">
        <v>0.67</v>
      </c>
      <c r="Y39" s="158">
        <v>0.65</v>
      </c>
      <c r="Z39" s="158">
        <v>0.56000000000000005</v>
      </c>
      <c r="AA39" s="158">
        <v>0.56999999999999995</v>
      </c>
      <c r="AB39" s="158">
        <v>0.65</v>
      </c>
      <c r="AC39" s="158">
        <v>0.79</v>
      </c>
      <c r="AD39" s="159">
        <v>0.8</v>
      </c>
    </row>
    <row r="40" spans="2:31" ht="16.149999999999999" customHeight="1">
      <c r="B40" s="109"/>
      <c r="C40" s="101" t="s">
        <v>51</v>
      </c>
      <c r="D40" s="102">
        <v>0.77062989999999998</v>
      </c>
      <c r="E40" s="102">
        <v>0.81445310000000004</v>
      </c>
      <c r="F40" s="102">
        <v>0.7775879</v>
      </c>
      <c r="G40" s="102">
        <v>0.71594230000000003</v>
      </c>
      <c r="H40" s="102">
        <v>0.70056149999999995</v>
      </c>
      <c r="I40" s="102">
        <v>0.67492675999999996</v>
      </c>
      <c r="J40" s="102">
        <v>0.65173340000000002</v>
      </c>
      <c r="K40" s="102">
        <v>0.55725100000000005</v>
      </c>
      <c r="L40" s="102">
        <v>0.5721638</v>
      </c>
      <c r="M40" s="102">
        <v>0.64913195000000001</v>
      </c>
      <c r="N40" s="102">
        <v>0.78903747000000002</v>
      </c>
      <c r="O40" s="103">
        <v>0.80407715000000002</v>
      </c>
      <c r="P40" s="1"/>
      <c r="Q40" s="147" t="s">
        <v>56</v>
      </c>
      <c r="R40" s="160" t="s">
        <v>51</v>
      </c>
      <c r="S40" s="161">
        <v>0.56000000000000005</v>
      </c>
      <c r="T40" s="161">
        <v>0.5</v>
      </c>
      <c r="U40" s="161">
        <v>0.44</v>
      </c>
      <c r="V40" s="161">
        <v>0.56000000000000005</v>
      </c>
      <c r="W40" s="161">
        <v>0.5</v>
      </c>
      <c r="X40" s="161">
        <v>0.37</v>
      </c>
      <c r="Y40" s="161">
        <v>0.6</v>
      </c>
      <c r="Z40" s="161">
        <v>0.67</v>
      </c>
      <c r="AA40" s="161">
        <v>0.71</v>
      </c>
      <c r="AB40" s="161">
        <v>0.92</v>
      </c>
      <c r="AC40" s="161">
        <v>0.79</v>
      </c>
      <c r="AD40" s="162">
        <v>0.66</v>
      </c>
    </row>
    <row r="41" spans="2:31" ht="16.149999999999999" customHeight="1">
      <c r="B41" s="107"/>
      <c r="C41" s="91" t="s">
        <v>48</v>
      </c>
      <c r="D41" s="92">
        <v>5.3820001099999999</v>
      </c>
      <c r="E41" s="92">
        <v>5.8620228499999998</v>
      </c>
      <c r="F41" s="92">
        <v>5.5224034399999997</v>
      </c>
      <c r="G41" s="92">
        <v>4.8267341099999896</v>
      </c>
      <c r="H41" s="92">
        <v>4.9292515000000003</v>
      </c>
      <c r="I41" s="92">
        <v>4.9756694399999999</v>
      </c>
      <c r="J41" s="92">
        <v>4.2560691000000004</v>
      </c>
      <c r="K41" s="92">
        <v>3.7189267300000002</v>
      </c>
      <c r="L41" s="92">
        <v>3.71054153</v>
      </c>
      <c r="M41" s="92">
        <v>4.0560011999999999</v>
      </c>
      <c r="N41" s="92">
        <v>5.0770488599999997</v>
      </c>
      <c r="O41" s="93">
        <v>4.9991730600000004</v>
      </c>
      <c r="P41" s="1"/>
      <c r="Q41" s="147" t="s">
        <v>57</v>
      </c>
      <c r="R41" s="101" t="s">
        <v>51</v>
      </c>
      <c r="S41" s="164">
        <v>1.9884831169999999</v>
      </c>
      <c r="T41" s="164">
        <v>1.7477648589999999</v>
      </c>
      <c r="U41" s="164">
        <v>1.6062653979999999</v>
      </c>
      <c r="V41" s="164">
        <v>1.6127105589999999</v>
      </c>
      <c r="W41" s="164">
        <v>2.1761311000000001</v>
      </c>
      <c r="X41" s="164">
        <v>1.718976206</v>
      </c>
      <c r="Y41" s="164">
        <v>2.0503336820000002</v>
      </c>
      <c r="Z41" s="164">
        <v>1.91678554</v>
      </c>
      <c r="AA41" s="164">
        <v>2.2479071990000001</v>
      </c>
      <c r="AB41" s="164">
        <v>2.1524295040000001</v>
      </c>
      <c r="AC41" s="164">
        <v>2.0313499450000001</v>
      </c>
      <c r="AD41" s="164">
        <v>1.907884935</v>
      </c>
    </row>
    <row r="42" spans="2:31">
      <c r="B42" s="97" t="s">
        <v>58</v>
      </c>
      <c r="C42" s="26" t="s">
        <v>50</v>
      </c>
      <c r="D42" s="20">
        <v>6.0282571649999896</v>
      </c>
      <c r="E42" s="20">
        <v>6.3957734000000004</v>
      </c>
      <c r="F42" s="20">
        <v>6.0814926249999903</v>
      </c>
      <c r="G42" s="20">
        <v>5.5488957499999998</v>
      </c>
      <c r="H42" s="20">
        <v>5.3984855499999904</v>
      </c>
      <c r="I42" s="20">
        <v>5.4183402399999903</v>
      </c>
      <c r="J42" s="20">
        <v>4.7719194899999904</v>
      </c>
      <c r="K42" s="20">
        <v>4.17816458999999</v>
      </c>
      <c r="L42" s="20">
        <v>4.20473436999999</v>
      </c>
      <c r="M42" s="20">
        <v>4.4563307799999903</v>
      </c>
      <c r="N42" s="20">
        <v>5.7102028749999896</v>
      </c>
      <c r="O42" s="41">
        <v>5.5708954499999903</v>
      </c>
      <c r="P42" s="1"/>
      <c r="Q42" s="147"/>
      <c r="R42" s="147"/>
      <c r="S42" s="147"/>
      <c r="T42" s="147"/>
      <c r="U42" s="147"/>
      <c r="V42" s="147"/>
      <c r="W42" s="147"/>
      <c r="X42" s="147"/>
      <c r="Y42" s="147"/>
      <c r="Z42" s="147"/>
      <c r="AA42" s="147"/>
      <c r="AB42" s="147"/>
      <c r="AC42" s="147"/>
      <c r="AD42" s="147"/>
    </row>
    <row r="43" spans="2:31">
      <c r="B43" s="108"/>
      <c r="C43" s="98" t="s">
        <v>51</v>
      </c>
      <c r="D43" s="99">
        <v>7.8983489999999996</v>
      </c>
      <c r="E43" s="99">
        <v>8.3638840000000005</v>
      </c>
      <c r="F43" s="99">
        <v>8.4219620000000006</v>
      </c>
      <c r="G43" s="99">
        <v>7.9125233000000001</v>
      </c>
      <c r="H43" s="99">
        <v>7.0892819999999999</v>
      </c>
      <c r="I43" s="99">
        <v>7.2976521999999999</v>
      </c>
      <c r="J43" s="99">
        <v>7.2045564999999998</v>
      </c>
      <c r="K43" s="99">
        <v>5.9442987</v>
      </c>
      <c r="L43" s="99">
        <v>7.0904360000000004</v>
      </c>
      <c r="M43" s="99">
        <v>6.4603605000000002</v>
      </c>
      <c r="N43" s="99">
        <v>8.0753219999999999</v>
      </c>
      <c r="O43" s="100">
        <v>7.6947365000000003</v>
      </c>
      <c r="P43" s="1"/>
      <c r="Q43" s="147"/>
      <c r="R43" s="147"/>
      <c r="S43" s="147"/>
      <c r="T43" s="147"/>
      <c r="U43" s="147"/>
      <c r="V43" s="147"/>
      <c r="W43" s="147"/>
      <c r="X43" s="147"/>
      <c r="Y43" s="147"/>
      <c r="Z43" s="147"/>
      <c r="AA43" s="147"/>
      <c r="AB43" s="147"/>
      <c r="AC43" s="147"/>
      <c r="AD43" s="147"/>
    </row>
    <row r="44" spans="2:31">
      <c r="B44" s="105"/>
      <c r="C44" s="85" t="s">
        <v>48</v>
      </c>
      <c r="D44" s="86">
        <v>0.12</v>
      </c>
      <c r="E44" s="86">
        <v>0.13</v>
      </c>
      <c r="F44" s="86">
        <v>0.13</v>
      </c>
      <c r="G44" s="86">
        <v>0.13900000000000001</v>
      </c>
      <c r="H44" s="86">
        <v>0.151</v>
      </c>
      <c r="I44" s="86">
        <v>0.158</v>
      </c>
      <c r="J44" s="86">
        <v>0.155</v>
      </c>
      <c r="K44" s="86">
        <v>0.128</v>
      </c>
      <c r="L44" s="86">
        <v>0.111</v>
      </c>
      <c r="M44" s="86">
        <v>0.09</v>
      </c>
      <c r="N44" s="86">
        <v>0.107</v>
      </c>
      <c r="O44" s="87">
        <v>0.111</v>
      </c>
      <c r="P44" s="1"/>
      <c r="Q44" s="147"/>
      <c r="R44" s="147"/>
      <c r="S44" s="147"/>
      <c r="T44" s="147"/>
      <c r="U44" s="147"/>
      <c r="V44" s="147"/>
      <c r="W44" s="147"/>
      <c r="X44" s="147"/>
      <c r="Y44" s="147"/>
      <c r="Z44" s="147"/>
      <c r="AA44" s="147"/>
      <c r="AB44" s="147"/>
      <c r="AC44" s="147"/>
      <c r="AD44" s="147"/>
    </row>
    <row r="45" spans="2:31">
      <c r="B45" s="96" t="s">
        <v>59</v>
      </c>
      <c r="C45" s="25" t="s">
        <v>50</v>
      </c>
      <c r="D45" s="21">
        <v>0.14000000000000001</v>
      </c>
      <c r="E45" s="21">
        <v>0.14699999999999999</v>
      </c>
      <c r="F45" s="21">
        <v>0.14699999999999999</v>
      </c>
      <c r="G45" s="21">
        <v>0.157</v>
      </c>
      <c r="H45" s="21">
        <v>0.16400000000000001</v>
      </c>
      <c r="I45" s="21">
        <v>0.17399999999999999</v>
      </c>
      <c r="J45" s="21">
        <v>0.16600000000000001</v>
      </c>
      <c r="K45" s="21">
        <v>0.14799999999999999</v>
      </c>
      <c r="L45" s="21">
        <v>0.128</v>
      </c>
      <c r="M45" s="21">
        <v>0.11</v>
      </c>
      <c r="N45" s="21">
        <v>0.122</v>
      </c>
      <c r="O45" s="42">
        <v>0.13300000000000001</v>
      </c>
      <c r="P45" s="1"/>
      <c r="Q45" s="147"/>
      <c r="R45" s="147"/>
      <c r="S45" s="147"/>
      <c r="T45" s="147"/>
      <c r="U45" s="147"/>
      <c r="V45" s="147"/>
      <c r="W45" s="147"/>
      <c r="X45" s="147"/>
      <c r="Y45" s="147"/>
      <c r="Z45" s="147"/>
      <c r="AA45" s="147"/>
      <c r="AB45" s="147"/>
      <c r="AC45" s="147"/>
      <c r="AD45" s="147"/>
    </row>
    <row r="46" spans="2:31">
      <c r="B46" s="110" t="s">
        <v>17</v>
      </c>
      <c r="C46" s="101" t="s">
        <v>51</v>
      </c>
      <c r="D46" s="102">
        <v>0.17299999999999999</v>
      </c>
      <c r="E46" s="102">
        <v>0.17199999999999999</v>
      </c>
      <c r="F46" s="102">
        <v>0.182</v>
      </c>
      <c r="G46" s="102">
        <v>0.183</v>
      </c>
      <c r="H46" s="102">
        <v>0.19</v>
      </c>
      <c r="I46" s="102">
        <v>0.20499999999999999</v>
      </c>
      <c r="J46" s="102">
        <v>0.184</v>
      </c>
      <c r="K46" s="102">
        <v>0.16800000000000001</v>
      </c>
      <c r="L46" s="102">
        <v>0.14799999999999999</v>
      </c>
      <c r="M46" s="102">
        <v>0.14899999999999999</v>
      </c>
      <c r="N46" s="102">
        <v>0.154</v>
      </c>
      <c r="O46" s="103">
        <v>0.16200000000000001</v>
      </c>
      <c r="P46" s="1"/>
      <c r="Q46" s="147" t="s">
        <v>58</v>
      </c>
      <c r="R46" s="154" t="s">
        <v>51</v>
      </c>
      <c r="S46" s="155">
        <v>7.9</v>
      </c>
      <c r="T46" s="155">
        <v>8.36</v>
      </c>
      <c r="U46" s="155">
        <v>8.42</v>
      </c>
      <c r="V46" s="155">
        <v>7.91</v>
      </c>
      <c r="W46" s="155">
        <v>7.09</v>
      </c>
      <c r="X46" s="155">
        <v>7.3</v>
      </c>
      <c r="Y46" s="155">
        <v>7.2</v>
      </c>
      <c r="Z46" s="155">
        <v>5.94</v>
      </c>
      <c r="AA46" s="155">
        <v>7.09</v>
      </c>
      <c r="AB46" s="155">
        <v>6.46</v>
      </c>
      <c r="AC46" s="155">
        <v>8.08</v>
      </c>
      <c r="AD46" s="156">
        <v>7.69</v>
      </c>
    </row>
    <row r="47" spans="2:31">
      <c r="B47" s="107"/>
      <c r="C47" s="91" t="s">
        <v>48</v>
      </c>
      <c r="D47" s="92">
        <v>0.31</v>
      </c>
      <c r="E47" s="92">
        <v>0.26</v>
      </c>
      <c r="F47" s="92">
        <v>0.17</v>
      </c>
      <c r="G47" s="92">
        <v>0.1</v>
      </c>
      <c r="H47" s="92">
        <v>0.02</v>
      </c>
      <c r="I47" s="92">
        <v>0.06</v>
      </c>
      <c r="J47" s="92">
        <v>0.08</v>
      </c>
      <c r="K47" s="92">
        <v>0.06</v>
      </c>
      <c r="L47" s="92">
        <v>0.33</v>
      </c>
      <c r="M47" s="92">
        <v>0.47</v>
      </c>
      <c r="N47" s="92">
        <v>0.43</v>
      </c>
      <c r="O47" s="93">
        <v>0.42</v>
      </c>
      <c r="P47" s="1"/>
      <c r="Q47" s="147" t="s">
        <v>54</v>
      </c>
      <c r="R47" s="154" t="s">
        <v>51</v>
      </c>
      <c r="S47" s="155">
        <v>8.1999999999999993</v>
      </c>
      <c r="T47" s="155">
        <v>8.35</v>
      </c>
      <c r="U47" s="155">
        <v>8.27</v>
      </c>
      <c r="V47" s="155">
        <v>7.6</v>
      </c>
      <c r="W47" s="155">
        <v>7.44</v>
      </c>
      <c r="X47" s="155">
        <v>7.92</v>
      </c>
      <c r="Y47" s="155">
        <v>7.53</v>
      </c>
      <c r="Z47" s="155">
        <v>6.71</v>
      </c>
      <c r="AA47" s="155">
        <v>7.6</v>
      </c>
      <c r="AB47" s="155">
        <v>7.72</v>
      </c>
      <c r="AC47" s="155">
        <v>8.23</v>
      </c>
      <c r="AD47" s="156">
        <v>8.33</v>
      </c>
    </row>
    <row r="48" spans="2:31">
      <c r="B48" s="97" t="s">
        <v>60</v>
      </c>
      <c r="C48" s="26" t="s">
        <v>50</v>
      </c>
      <c r="D48" s="20">
        <v>0.39</v>
      </c>
      <c r="E48" s="20">
        <v>0.33</v>
      </c>
      <c r="F48" s="20">
        <v>0.24</v>
      </c>
      <c r="G48" s="20">
        <v>0.18</v>
      </c>
      <c r="H48" s="20">
        <v>0.1</v>
      </c>
      <c r="I48" s="20">
        <v>0.1</v>
      </c>
      <c r="J48" s="20">
        <v>0.1</v>
      </c>
      <c r="K48" s="20">
        <v>0.06</v>
      </c>
      <c r="L48" s="20">
        <v>0.42</v>
      </c>
      <c r="M48" s="20">
        <v>0.56000000000000005</v>
      </c>
      <c r="N48" s="20">
        <v>0.51</v>
      </c>
      <c r="O48" s="41">
        <v>0.5</v>
      </c>
      <c r="P48" s="1"/>
      <c r="Q48" s="1"/>
      <c r="R48" s="138"/>
      <c r="S48" s="119"/>
    </row>
    <row r="49" spans="2:22">
      <c r="B49" s="111" t="s">
        <v>21</v>
      </c>
      <c r="C49" s="30" t="s">
        <v>51</v>
      </c>
      <c r="D49" s="31">
        <v>0.55594802200000004</v>
      </c>
      <c r="E49" s="31">
        <v>0.49943046899999999</v>
      </c>
      <c r="F49" s="31">
        <v>0.44104149199999998</v>
      </c>
      <c r="G49" s="31">
        <v>0.55651805399999998</v>
      </c>
      <c r="H49" s="31">
        <v>0.50491839699999996</v>
      </c>
      <c r="I49" s="31">
        <v>0.37217036100000001</v>
      </c>
      <c r="J49" s="31">
        <v>0.60097538800000005</v>
      </c>
      <c r="K49" s="31">
        <v>0.66535146999999994</v>
      </c>
      <c r="L49" s="31">
        <v>0.70822202000000001</v>
      </c>
      <c r="M49" s="31">
        <v>0.92104399800000003</v>
      </c>
      <c r="N49" s="31">
        <v>0.79398940200000001</v>
      </c>
      <c r="O49" s="43">
        <v>0.65988831999999997</v>
      </c>
      <c r="P49" s="1"/>
      <c r="Q49" s="1"/>
      <c r="R49" s="138"/>
      <c r="S49" s="119"/>
    </row>
    <row r="50" spans="2:22">
      <c r="B50" s="105"/>
      <c r="C50" s="85" t="s">
        <v>48</v>
      </c>
      <c r="D50" s="163">
        <v>1.0048247191791499</v>
      </c>
      <c r="E50" s="163">
        <v>0.919319633732821</v>
      </c>
      <c r="F50" s="163">
        <v>0.80327444851922103</v>
      </c>
      <c r="G50" s="163">
        <v>0.73217094577572095</v>
      </c>
      <c r="H50" s="163">
        <v>0.71768320564691501</v>
      </c>
      <c r="I50" s="163">
        <v>0.72002567364879799</v>
      </c>
      <c r="J50" s="163">
        <v>0.73152294979745702</v>
      </c>
      <c r="K50" s="163">
        <v>0.753773532687806</v>
      </c>
      <c r="L50" s="163">
        <v>0.95839416954137002</v>
      </c>
      <c r="M50" s="163">
        <v>1.1418056194919</v>
      </c>
      <c r="N50" s="163">
        <v>1.1514857487857899</v>
      </c>
      <c r="O50" s="163">
        <v>1.11913230616978</v>
      </c>
      <c r="P50" s="4"/>
      <c r="Q50" s="4"/>
      <c r="R50" s="119"/>
      <c r="S50" s="119"/>
    </row>
    <row r="51" spans="2:22">
      <c r="B51" s="96" t="s">
        <v>61</v>
      </c>
      <c r="C51" s="25" t="s">
        <v>50</v>
      </c>
      <c r="D51" s="163">
        <v>1.22385543266186</v>
      </c>
      <c r="E51" s="163">
        <v>1.0741723556846301</v>
      </c>
      <c r="F51" s="163">
        <v>0.94553269173133703</v>
      </c>
      <c r="G51" s="163">
        <v>0.918742535967079</v>
      </c>
      <c r="H51" s="163">
        <v>0.96790257002116997</v>
      </c>
      <c r="I51" s="163">
        <v>0.93654791233442503</v>
      </c>
      <c r="J51" s="163">
        <v>0.92845522015062498</v>
      </c>
      <c r="K51" s="163">
        <v>0.93100726365796704</v>
      </c>
      <c r="L51" s="163">
        <v>1.12861195532528</v>
      </c>
      <c r="M51" s="163">
        <v>1.3176569147581401</v>
      </c>
      <c r="N51" s="163">
        <v>1.32537458069852</v>
      </c>
      <c r="O51" s="163">
        <v>1.3319249690820201</v>
      </c>
      <c r="P51" s="4"/>
      <c r="Q51" s="4"/>
      <c r="R51" s="119"/>
      <c r="S51" s="119"/>
    </row>
    <row r="52" spans="2:22">
      <c r="B52" s="110" t="s">
        <v>21</v>
      </c>
      <c r="C52" s="101" t="s">
        <v>51</v>
      </c>
      <c r="D52" s="164">
        <v>1.9884831169999999</v>
      </c>
      <c r="E52" s="164">
        <v>1.7477648589999999</v>
      </c>
      <c r="F52" s="164">
        <v>1.6062653979999999</v>
      </c>
      <c r="G52" s="164">
        <v>1.6127105589999999</v>
      </c>
      <c r="H52" s="164">
        <v>2.1761311000000001</v>
      </c>
      <c r="I52" s="164">
        <v>1.718976206</v>
      </c>
      <c r="J52" s="164">
        <v>2.0503336820000002</v>
      </c>
      <c r="K52" s="164">
        <v>1.91678554</v>
      </c>
      <c r="L52" s="164">
        <v>2.2479071990000001</v>
      </c>
      <c r="M52" s="164">
        <v>2.1524295040000001</v>
      </c>
      <c r="N52" s="164">
        <v>2.0313499450000001</v>
      </c>
      <c r="O52" s="164">
        <v>1.907884935</v>
      </c>
      <c r="R52" s="119"/>
      <c r="S52" s="119"/>
    </row>
    <row r="53" spans="2:22">
      <c r="O53" s="38"/>
      <c r="R53" s="119"/>
      <c r="S53" s="119"/>
    </row>
    <row r="54" spans="2:22">
      <c r="B54" s="36" t="s">
        <v>62</v>
      </c>
      <c r="O54" s="38"/>
      <c r="R54" s="119"/>
      <c r="S54" s="119"/>
    </row>
    <row r="55" spans="2:22">
      <c r="B55" s="36" t="s">
        <v>63</v>
      </c>
      <c r="O55" s="38"/>
      <c r="R55" s="119"/>
      <c r="S55" s="138"/>
    </row>
    <row r="56" spans="2:22" ht="24.75" customHeight="1">
      <c r="O56" s="38"/>
      <c r="R56" s="119"/>
    </row>
    <row r="57" spans="2:22" ht="35.25" customHeight="1">
      <c r="O57" s="38"/>
      <c r="R57" s="119"/>
    </row>
    <row r="58" spans="2:22" ht="32.25" customHeight="1">
      <c r="B58" s="48" t="s">
        <v>64</v>
      </c>
      <c r="C58" s="49"/>
      <c r="D58" s="49"/>
      <c r="E58" s="49"/>
      <c r="F58" s="49"/>
      <c r="G58" s="49"/>
      <c r="O58" s="38"/>
      <c r="R58" s="119"/>
    </row>
    <row r="59" spans="2:22" ht="24.75" customHeight="1">
      <c r="B59" s="34"/>
      <c r="O59" s="38"/>
      <c r="R59" s="119"/>
      <c r="V59" s="119"/>
    </row>
    <row r="60" spans="2:22" ht="36" customHeight="1">
      <c r="B60" s="143" t="s">
        <v>34</v>
      </c>
      <c r="C60" s="144" t="s">
        <v>35</v>
      </c>
      <c r="D60" s="145" t="s">
        <v>65</v>
      </c>
      <c r="E60" s="145" t="s">
        <v>66</v>
      </c>
      <c r="F60" s="145" t="s">
        <v>67</v>
      </c>
      <c r="G60" s="146" t="s">
        <v>68</v>
      </c>
      <c r="O60" s="38"/>
      <c r="R60" s="119"/>
      <c r="V60" s="119"/>
    </row>
    <row r="61" spans="2:22" ht="16.149999999999999" customHeight="1">
      <c r="B61" s="95"/>
      <c r="C61" s="24" t="s">
        <v>48</v>
      </c>
      <c r="D61" s="23">
        <v>5.8377394499999999</v>
      </c>
      <c r="E61" s="23">
        <v>5.0954921000000004</v>
      </c>
      <c r="F61" s="23">
        <v>6.8533580000000001</v>
      </c>
      <c r="G61" s="27">
        <v>6.0759700599999897</v>
      </c>
      <c r="I61" s="147"/>
      <c r="J61" s="147"/>
      <c r="K61" s="147" t="s">
        <v>69</v>
      </c>
      <c r="L61" s="147" t="s">
        <v>70</v>
      </c>
      <c r="M61" s="147" t="s">
        <v>71</v>
      </c>
      <c r="N61" s="165" t="s">
        <v>72</v>
      </c>
      <c r="O61" s="38"/>
      <c r="R61" s="119"/>
      <c r="V61" s="119"/>
    </row>
    <row r="62" spans="2:22" ht="16.149999999999999" customHeight="1">
      <c r="B62" s="96" t="s">
        <v>49</v>
      </c>
      <c r="C62" s="25" t="s">
        <v>50</v>
      </c>
      <c r="D62" s="21">
        <v>6.718028125</v>
      </c>
      <c r="E62" s="21">
        <v>5.8134601400000001</v>
      </c>
      <c r="F62" s="21">
        <v>7.8800413499999999</v>
      </c>
      <c r="G62" s="29">
        <v>7.2178803549999904</v>
      </c>
      <c r="I62" s="147" t="s">
        <v>49</v>
      </c>
      <c r="J62" s="154" t="s">
        <v>51</v>
      </c>
      <c r="K62" s="155">
        <v>12.11</v>
      </c>
      <c r="L62" s="155">
        <v>10.67</v>
      </c>
      <c r="M62" s="155">
        <v>12.82</v>
      </c>
      <c r="N62" s="166">
        <v>12.96</v>
      </c>
      <c r="O62" s="38"/>
      <c r="V62" s="119"/>
    </row>
    <row r="63" spans="2:22" ht="16.149999999999999" customHeight="1">
      <c r="B63" s="108"/>
      <c r="C63" s="98" t="s">
        <v>51</v>
      </c>
      <c r="D63" s="99">
        <v>12.110060000000001</v>
      </c>
      <c r="E63" s="99">
        <v>10.667596</v>
      </c>
      <c r="F63" s="99">
        <v>12.817064999999999</v>
      </c>
      <c r="G63" s="112">
        <v>12.964304</v>
      </c>
      <c r="I63" s="147"/>
      <c r="J63" s="157"/>
      <c r="K63" s="158"/>
      <c r="L63" s="158"/>
      <c r="M63" s="158"/>
      <c r="N63" s="167"/>
      <c r="O63" s="38"/>
      <c r="V63" s="119"/>
    </row>
    <row r="64" spans="2:22" ht="16.149999999999999" customHeight="1">
      <c r="B64" s="105"/>
      <c r="C64" s="85" t="s">
        <v>48</v>
      </c>
      <c r="D64" s="86">
        <v>0.47875437500000001</v>
      </c>
      <c r="E64" s="86">
        <v>0.48067663900000002</v>
      </c>
      <c r="F64" s="86">
        <v>0.68185322500000001</v>
      </c>
      <c r="G64" s="113">
        <v>0.69206476699999997</v>
      </c>
      <c r="I64" s="147"/>
      <c r="J64" s="154"/>
      <c r="K64" s="155"/>
      <c r="L64" s="155"/>
      <c r="M64" s="155"/>
      <c r="N64" s="166"/>
      <c r="O64" s="38"/>
      <c r="V64" s="119"/>
    </row>
    <row r="65" spans="2:22" ht="16.149999999999999" customHeight="1">
      <c r="B65" s="97" t="s">
        <v>52</v>
      </c>
      <c r="C65" s="26" t="s">
        <v>50</v>
      </c>
      <c r="D65" s="20">
        <v>0.58179797499999997</v>
      </c>
      <c r="E65" s="20">
        <v>0.61713845749999796</v>
      </c>
      <c r="F65" s="20">
        <v>0.82890050000000004</v>
      </c>
      <c r="G65" s="28">
        <v>0.85573675999999899</v>
      </c>
      <c r="I65" s="147"/>
      <c r="J65" s="157"/>
      <c r="K65" s="158"/>
      <c r="L65" s="158"/>
      <c r="M65" s="158"/>
      <c r="N65" s="167"/>
      <c r="O65" s="38"/>
      <c r="V65" s="119"/>
    </row>
    <row r="66" spans="2:22" ht="16.149999999999999" customHeight="1">
      <c r="B66" s="109"/>
      <c r="C66" s="101" t="s">
        <v>51</v>
      </c>
      <c r="D66" s="102">
        <v>1.2510308999999999</v>
      </c>
      <c r="E66" s="102">
        <v>1.2661408999999999</v>
      </c>
      <c r="F66" s="102">
        <v>1.4609890000000001</v>
      </c>
      <c r="G66" s="114">
        <v>1.3483429</v>
      </c>
      <c r="I66" s="147"/>
      <c r="J66" s="147"/>
      <c r="K66" s="147" t="s">
        <v>69</v>
      </c>
      <c r="L66" s="147" t="s">
        <v>70</v>
      </c>
      <c r="M66" s="147" t="s">
        <v>71</v>
      </c>
      <c r="N66" s="165" t="s">
        <v>72</v>
      </c>
      <c r="O66" s="38"/>
      <c r="V66" s="119"/>
    </row>
    <row r="67" spans="2:22" ht="16.149999999999999" customHeight="1">
      <c r="B67" s="107"/>
      <c r="C67" s="91" t="s">
        <v>48</v>
      </c>
      <c r="D67" s="92">
        <v>5.4607925000000002</v>
      </c>
      <c r="E67" s="92">
        <v>6.0472915599999997</v>
      </c>
      <c r="F67" s="92">
        <v>6.1388932499999997</v>
      </c>
      <c r="G67" s="115">
        <v>6.4635755399999901</v>
      </c>
      <c r="I67" s="147" t="s">
        <v>53</v>
      </c>
      <c r="J67" s="160" t="s">
        <v>51</v>
      </c>
      <c r="K67" s="161">
        <v>0.18</v>
      </c>
      <c r="L67" s="161">
        <v>0.15</v>
      </c>
      <c r="M67" s="161">
        <v>0.19</v>
      </c>
      <c r="N67" s="168">
        <v>0.17</v>
      </c>
      <c r="O67" s="38"/>
      <c r="V67" s="119"/>
    </row>
    <row r="68" spans="2:22" ht="16.149999999999999" customHeight="1">
      <c r="B68" s="96" t="s">
        <v>54</v>
      </c>
      <c r="C68" s="25" t="s">
        <v>50</v>
      </c>
      <c r="D68" s="21">
        <v>6.1036760000000001</v>
      </c>
      <c r="E68" s="21">
        <v>6.4417006399999899</v>
      </c>
      <c r="F68" s="21">
        <v>6.5663833499999997</v>
      </c>
      <c r="G68" s="29">
        <v>6.9236829999999996</v>
      </c>
      <c r="I68" s="147"/>
      <c r="J68" s="160"/>
      <c r="K68" s="161"/>
      <c r="L68" s="161"/>
      <c r="M68" s="161"/>
      <c r="N68" s="168"/>
      <c r="O68" s="38"/>
      <c r="V68" s="119"/>
    </row>
    <row r="69" spans="2:22" ht="16.149999999999999" customHeight="1">
      <c r="B69" s="108"/>
      <c r="C69" s="98" t="s">
        <v>51</v>
      </c>
      <c r="D69" s="99">
        <v>7.9217300000000002</v>
      </c>
      <c r="E69" s="99">
        <v>8.2332535</v>
      </c>
      <c r="F69" s="99">
        <v>8.2718279999999993</v>
      </c>
      <c r="G69" s="112">
        <v>8.3533709999999992</v>
      </c>
      <c r="K69" s="1"/>
      <c r="O69" s="38"/>
      <c r="V69" s="119"/>
    </row>
    <row r="70" spans="2:22" ht="16.149999999999999" customHeight="1">
      <c r="B70" s="105"/>
      <c r="C70" s="85" t="s">
        <v>48</v>
      </c>
      <c r="D70" s="86">
        <v>0.32170798499999997</v>
      </c>
      <c r="E70" s="86">
        <v>0.36633290899999998</v>
      </c>
      <c r="F70" s="86">
        <v>0.42089843999999998</v>
      </c>
      <c r="G70" s="113">
        <v>0.47421261199999998</v>
      </c>
      <c r="O70" s="38"/>
      <c r="V70" s="119"/>
    </row>
    <row r="71" spans="2:22" ht="16.149999999999999" customHeight="1">
      <c r="B71" s="97" t="s">
        <v>55</v>
      </c>
      <c r="C71" s="26" t="s">
        <v>50</v>
      </c>
      <c r="D71" s="20">
        <v>0.37969970250000001</v>
      </c>
      <c r="E71" s="20">
        <v>0.450142315499999</v>
      </c>
      <c r="F71" s="20">
        <v>0.4972836625</v>
      </c>
      <c r="G71" s="28">
        <v>0.54119263149999997</v>
      </c>
      <c r="I71" s="147"/>
      <c r="J71" s="147"/>
      <c r="K71" s="147" t="s">
        <v>69</v>
      </c>
      <c r="L71" s="147" t="s">
        <v>70</v>
      </c>
      <c r="M71" s="147" t="s">
        <v>71</v>
      </c>
      <c r="N71" s="165" t="s">
        <v>72</v>
      </c>
      <c r="O71" s="38"/>
    </row>
    <row r="72" spans="2:22" ht="16.149999999999999" customHeight="1">
      <c r="B72" s="109"/>
      <c r="C72" s="101" t="s">
        <v>51</v>
      </c>
      <c r="D72" s="102">
        <v>0.67492675999999996</v>
      </c>
      <c r="E72" s="102">
        <v>0.78903747000000002</v>
      </c>
      <c r="F72" s="102">
        <v>0.7775879</v>
      </c>
      <c r="G72" s="114">
        <v>0.81445310000000004</v>
      </c>
      <c r="I72" s="147" t="s">
        <v>54</v>
      </c>
      <c r="J72" s="154" t="s">
        <v>51</v>
      </c>
      <c r="K72" s="155">
        <v>7.92</v>
      </c>
      <c r="L72" s="155">
        <v>8.23</v>
      </c>
      <c r="M72" s="155">
        <v>8.27</v>
      </c>
      <c r="N72" s="166">
        <v>8.35</v>
      </c>
      <c r="O72" s="38"/>
    </row>
    <row r="73" spans="2:22">
      <c r="B73" s="107"/>
      <c r="C73" s="91" t="s">
        <v>48</v>
      </c>
      <c r="D73" s="92">
        <v>4.2758655000000001</v>
      </c>
      <c r="E73" s="92">
        <v>4.5499806999999999</v>
      </c>
      <c r="F73" s="92">
        <v>5.1076369499999998</v>
      </c>
      <c r="G73" s="115">
        <v>5.4180079299999999</v>
      </c>
      <c r="I73" s="147" t="s">
        <v>58</v>
      </c>
      <c r="J73" s="154" t="s">
        <v>51</v>
      </c>
      <c r="K73" s="155">
        <v>7.3</v>
      </c>
      <c r="L73" s="155">
        <v>8.08</v>
      </c>
      <c r="M73" s="155">
        <v>8.42</v>
      </c>
      <c r="N73" s="166">
        <v>8.36</v>
      </c>
      <c r="O73" s="38"/>
    </row>
    <row r="74" spans="2:22">
      <c r="B74" s="96" t="s">
        <v>58</v>
      </c>
      <c r="C74" s="25" t="s">
        <v>50</v>
      </c>
      <c r="D74" s="21">
        <v>4.8067396499999999</v>
      </c>
      <c r="E74" s="21">
        <v>5.1872418999999903</v>
      </c>
      <c r="F74" s="21">
        <v>5.7048465999999998</v>
      </c>
      <c r="G74" s="29">
        <v>6.07979712499999</v>
      </c>
      <c r="O74" s="38"/>
    </row>
    <row r="75" spans="2:22">
      <c r="B75" s="108"/>
      <c r="C75" s="98" t="s">
        <v>51</v>
      </c>
      <c r="D75" s="99">
        <v>7.2976521999999999</v>
      </c>
      <c r="E75" s="99">
        <v>8.0753219999999999</v>
      </c>
      <c r="F75" s="99">
        <v>8.4219620000000006</v>
      </c>
      <c r="G75" s="112">
        <v>8.3638840000000005</v>
      </c>
      <c r="O75" s="38"/>
    </row>
    <row r="76" spans="2:22">
      <c r="B76" s="105"/>
      <c r="C76" s="85" t="s">
        <v>48</v>
      </c>
      <c r="D76" s="86"/>
      <c r="E76" s="86"/>
      <c r="F76" s="86"/>
      <c r="G76" s="113"/>
      <c r="O76" s="38"/>
    </row>
    <row r="77" spans="2:22">
      <c r="B77" s="97" t="s">
        <v>60</v>
      </c>
      <c r="C77" s="26" t="s">
        <v>50</v>
      </c>
      <c r="D77" s="20"/>
      <c r="E77" s="20"/>
      <c r="F77" s="20"/>
      <c r="G77" s="28"/>
      <c r="O77" s="38"/>
    </row>
    <row r="78" spans="2:22">
      <c r="B78" s="110" t="s">
        <v>21</v>
      </c>
      <c r="C78" s="101" t="s">
        <v>51</v>
      </c>
      <c r="D78" s="102">
        <v>0.70799999999999996</v>
      </c>
      <c r="E78" s="102">
        <v>0.92100000000000004</v>
      </c>
      <c r="F78" s="102">
        <v>0.55000000000000004</v>
      </c>
      <c r="G78" s="114">
        <v>0.65</v>
      </c>
      <c r="I78" s="147"/>
      <c r="J78" s="147"/>
      <c r="K78" s="147" t="s">
        <v>69</v>
      </c>
      <c r="L78" s="147" t="s">
        <v>70</v>
      </c>
      <c r="M78" s="147" t="s">
        <v>71</v>
      </c>
      <c r="N78" s="165" t="s">
        <v>72</v>
      </c>
      <c r="O78" s="38"/>
    </row>
    <row r="79" spans="2:22">
      <c r="B79" s="107"/>
      <c r="C79" s="91" t="s">
        <v>48</v>
      </c>
      <c r="D79" s="116">
        <v>0.146896465</v>
      </c>
      <c r="E79" s="116">
        <v>0.10239384999999999</v>
      </c>
      <c r="F79" s="116">
        <v>0.143220351</v>
      </c>
      <c r="G79" s="117">
        <v>0.12250905400000001</v>
      </c>
      <c r="I79" s="147" t="s">
        <v>52</v>
      </c>
      <c r="J79" s="157" t="s">
        <v>51</v>
      </c>
      <c r="K79" s="158">
        <v>1.25</v>
      </c>
      <c r="L79" s="158">
        <v>1.27</v>
      </c>
      <c r="M79" s="158">
        <v>1.46</v>
      </c>
      <c r="N79" s="167">
        <v>1.35</v>
      </c>
      <c r="O79" s="38"/>
    </row>
    <row r="80" spans="2:22">
      <c r="B80" s="96" t="s">
        <v>59</v>
      </c>
      <c r="C80" s="25" t="s">
        <v>50</v>
      </c>
      <c r="D80" s="22">
        <v>0.16006369300000001</v>
      </c>
      <c r="E80" s="22">
        <v>0.11903860199999999</v>
      </c>
      <c r="F80" s="22">
        <v>0.15814076699999999</v>
      </c>
      <c r="G80" s="54">
        <v>0.142140033</v>
      </c>
      <c r="I80" s="147" t="s">
        <v>55</v>
      </c>
      <c r="J80" s="157" t="s">
        <v>51</v>
      </c>
      <c r="K80" s="158">
        <v>0.67</v>
      </c>
      <c r="L80" s="158">
        <v>0.79</v>
      </c>
      <c r="M80" s="158">
        <v>0.78</v>
      </c>
      <c r="N80" s="167">
        <v>0.81</v>
      </c>
      <c r="O80" s="38"/>
    </row>
    <row r="81" spans="2:15">
      <c r="B81" s="111" t="s">
        <v>17</v>
      </c>
      <c r="C81" s="30" t="s">
        <v>51</v>
      </c>
      <c r="D81" s="31">
        <v>0.18442903999999999</v>
      </c>
      <c r="E81" s="31">
        <v>0.151349963</v>
      </c>
      <c r="F81" s="31">
        <v>0.18698759500000001</v>
      </c>
      <c r="G81" s="32">
        <v>0.16883250599999999</v>
      </c>
      <c r="I81" s="147" t="s">
        <v>56</v>
      </c>
      <c r="J81" s="157" t="s">
        <v>51</v>
      </c>
      <c r="K81" s="158">
        <v>0.71</v>
      </c>
      <c r="L81" s="158">
        <v>0.92</v>
      </c>
      <c r="M81" s="158">
        <v>0.55000000000000004</v>
      </c>
      <c r="N81" s="167">
        <v>0.65</v>
      </c>
      <c r="O81" s="38"/>
    </row>
    <row r="82" spans="2:15">
      <c r="C82" s="55"/>
      <c r="D82" s="55"/>
      <c r="E82" s="55"/>
      <c r="F82" s="55"/>
      <c r="G82" s="55"/>
      <c r="O82" s="38"/>
    </row>
    <row r="83" spans="2:15">
      <c r="B83" s="36" t="s">
        <v>62</v>
      </c>
      <c r="C83" s="55"/>
      <c r="D83" s="55"/>
      <c r="E83" s="55"/>
      <c r="F83" s="55"/>
      <c r="G83" s="55"/>
      <c r="O83" s="38"/>
    </row>
    <row r="84" spans="2:15">
      <c r="B84" s="36" t="s">
        <v>73</v>
      </c>
      <c r="O84" s="38"/>
    </row>
    <row r="85" spans="2:15" ht="11.45" customHeight="1">
      <c r="B85" s="34"/>
      <c r="O85" s="38"/>
    </row>
    <row r="86" spans="2:15" ht="24.75" customHeight="1">
      <c r="O86" s="38"/>
    </row>
    <row r="87" spans="2:15">
      <c r="O87" s="38"/>
    </row>
    <row r="88" spans="2:15">
      <c r="O88" s="38"/>
    </row>
    <row r="89" spans="2:15" ht="15.75">
      <c r="B89" s="48" t="s">
        <v>74</v>
      </c>
      <c r="C89" s="49"/>
      <c r="D89" s="49"/>
      <c r="E89" s="49"/>
      <c r="F89" s="49"/>
      <c r="G89" s="49"/>
      <c r="H89" s="49"/>
      <c r="I89" s="49"/>
      <c r="J89" s="49"/>
      <c r="K89" s="49"/>
      <c r="L89" s="49"/>
      <c r="M89" s="49"/>
      <c r="N89" s="49"/>
      <c r="O89" s="38"/>
    </row>
    <row r="90" spans="2:15">
      <c r="B90" s="34"/>
      <c r="O90" s="38"/>
    </row>
    <row r="91" spans="2:15">
      <c r="B91" s="56" t="s">
        <v>75</v>
      </c>
      <c r="C91" s="57"/>
      <c r="D91" s="57"/>
      <c r="E91" s="57"/>
      <c r="F91" s="57"/>
      <c r="G91" s="57"/>
      <c r="H91" s="57"/>
      <c r="I91" s="57"/>
      <c r="J91" s="57"/>
      <c r="K91" s="57"/>
      <c r="L91" s="57"/>
      <c r="M91" s="57"/>
      <c r="N91" s="57"/>
      <c r="O91" s="38"/>
    </row>
    <row r="92" spans="2:15">
      <c r="B92" s="34"/>
      <c r="O92" s="38"/>
    </row>
    <row r="93" spans="2:15">
      <c r="B93" s="58" t="s">
        <v>76</v>
      </c>
      <c r="C93" s="59" t="s">
        <v>36</v>
      </c>
      <c r="D93" s="59" t="s">
        <v>37</v>
      </c>
      <c r="E93" s="59" t="s">
        <v>38</v>
      </c>
      <c r="F93" s="59" t="s">
        <v>39</v>
      </c>
      <c r="G93" s="59" t="s">
        <v>40</v>
      </c>
      <c r="H93" s="59" t="s">
        <v>41</v>
      </c>
      <c r="I93" s="59" t="s">
        <v>42</v>
      </c>
      <c r="J93" s="59" t="s">
        <v>43</v>
      </c>
      <c r="K93" s="59" t="s">
        <v>44</v>
      </c>
      <c r="L93" s="59" t="s">
        <v>45</v>
      </c>
      <c r="M93" s="59" t="s">
        <v>46</v>
      </c>
      <c r="N93" s="60" t="s">
        <v>47</v>
      </c>
      <c r="O93" s="38"/>
    </row>
    <row r="94" spans="2:15">
      <c r="B94" s="37" t="s">
        <v>77</v>
      </c>
      <c r="C94" s="33">
        <v>0.78480000000000005</v>
      </c>
      <c r="D94" s="33">
        <v>0.70269999999999999</v>
      </c>
      <c r="E94" s="33">
        <v>0.71120000000000005</v>
      </c>
      <c r="F94" s="33">
        <v>0.82469999999999999</v>
      </c>
      <c r="G94" s="33">
        <v>0.78779999999999994</v>
      </c>
      <c r="H94" s="33">
        <v>0.81799999999999995</v>
      </c>
      <c r="I94" s="33">
        <v>0.90200000000000002</v>
      </c>
      <c r="J94" s="33">
        <v>0.94830000000000003</v>
      </c>
      <c r="K94" s="33">
        <v>0.9617</v>
      </c>
      <c r="L94" s="33">
        <v>0.95789999999999997</v>
      </c>
      <c r="M94" s="33">
        <v>0.85570000000000002</v>
      </c>
      <c r="N94" s="33">
        <v>0.82709999999999995</v>
      </c>
      <c r="O94" s="38"/>
    </row>
    <row r="95" spans="2:15">
      <c r="B95" s="34"/>
      <c r="O95" s="38"/>
    </row>
    <row r="96" spans="2:15" ht="24.75" customHeight="1">
      <c r="B96" s="61" t="s">
        <v>78</v>
      </c>
      <c r="C96" s="62"/>
      <c r="D96" s="62"/>
      <c r="E96" s="62"/>
      <c r="F96" s="62"/>
      <c r="G96" s="62"/>
      <c r="H96" s="62"/>
      <c r="I96" s="62"/>
      <c r="J96" s="62"/>
      <c r="K96" s="62"/>
      <c r="L96" s="63"/>
      <c r="M96" s="63"/>
      <c r="N96" s="63"/>
      <c r="O96" s="38"/>
    </row>
    <row r="97" spans="2:28" ht="16.149999999999999" customHeight="1">
      <c r="B97" s="34"/>
      <c r="O97" s="38"/>
    </row>
    <row r="98" spans="2:28" ht="20.25" customHeight="1">
      <c r="B98" s="34"/>
      <c r="O98" s="38"/>
    </row>
    <row r="99" spans="2:28" ht="20.25" customHeight="1">
      <c r="B99" s="48" t="s">
        <v>79</v>
      </c>
      <c r="C99" s="49"/>
      <c r="D99" s="49"/>
      <c r="G99" s="94"/>
      <c r="O99" s="38"/>
    </row>
    <row r="100" spans="2:28" ht="20.25" customHeight="1">
      <c r="B100" s="34"/>
      <c r="O100" s="38"/>
    </row>
    <row r="101" spans="2:28" ht="20.25" customHeight="1">
      <c r="B101" s="170" t="s">
        <v>80</v>
      </c>
      <c r="C101" s="171" t="s">
        <v>81</v>
      </c>
      <c r="D101" s="171" t="s">
        <v>82</v>
      </c>
      <c r="E101" s="171" t="s">
        <v>83</v>
      </c>
      <c r="F101" s="171" t="s">
        <v>84</v>
      </c>
      <c r="G101" s="171" t="s">
        <v>40</v>
      </c>
      <c r="H101" s="171" t="s">
        <v>85</v>
      </c>
      <c r="I101" s="171" t="s">
        <v>86</v>
      </c>
      <c r="J101" s="171" t="s">
        <v>87</v>
      </c>
      <c r="K101" s="171" t="s">
        <v>88</v>
      </c>
      <c r="L101" s="171" t="s">
        <v>89</v>
      </c>
      <c r="M101" s="171" t="s">
        <v>90</v>
      </c>
      <c r="N101" s="172" t="s">
        <v>91</v>
      </c>
      <c r="O101" s="38"/>
      <c r="P101" s="147"/>
      <c r="Q101" s="175" t="s">
        <v>81</v>
      </c>
      <c r="R101" s="176" t="s">
        <v>82</v>
      </c>
      <c r="S101" s="176" t="s">
        <v>83</v>
      </c>
      <c r="T101" s="176" t="s">
        <v>84</v>
      </c>
      <c r="U101" s="176" t="s">
        <v>40</v>
      </c>
      <c r="V101" s="176" t="s">
        <v>85</v>
      </c>
      <c r="W101" s="176" t="s">
        <v>86</v>
      </c>
      <c r="X101" s="176" t="s">
        <v>87</v>
      </c>
      <c r="Y101" s="176" t="s">
        <v>88</v>
      </c>
      <c r="Z101" s="176" t="s">
        <v>89</v>
      </c>
      <c r="AA101" s="176" t="s">
        <v>90</v>
      </c>
      <c r="AB101" s="177" t="s">
        <v>91</v>
      </c>
    </row>
    <row r="102" spans="2:28" ht="20.25" customHeight="1">
      <c r="B102" s="130" t="s">
        <v>92</v>
      </c>
      <c r="C102" s="121">
        <v>5.3900000000000003E-2</v>
      </c>
      <c r="D102" s="121">
        <v>9.1800000000000007E-2</v>
      </c>
      <c r="E102" s="121">
        <v>0.1076</v>
      </c>
      <c r="F102" s="121">
        <v>7.1900000000000006E-2</v>
      </c>
      <c r="G102" s="121">
        <v>9.1499999999999998E-2</v>
      </c>
      <c r="H102" s="121">
        <v>7.2099999999999997E-2</v>
      </c>
      <c r="I102" s="121">
        <v>4.9099999999999998E-2</v>
      </c>
      <c r="J102" s="121">
        <v>2.5999999999999999E-2</v>
      </c>
      <c r="K102" s="121">
        <v>1.77E-2</v>
      </c>
      <c r="L102" s="121">
        <v>8.0999999999999996E-3</v>
      </c>
      <c r="M102" s="121">
        <v>2.0299999999999999E-2</v>
      </c>
      <c r="N102" s="122">
        <v>2.8500000000000001E-2</v>
      </c>
      <c r="O102" s="38"/>
      <c r="P102" s="178" t="s">
        <v>92</v>
      </c>
      <c r="Q102" s="179">
        <v>5.3900000000000003E-2</v>
      </c>
      <c r="R102" s="180">
        <v>9.1800000000000007E-2</v>
      </c>
      <c r="S102" s="181">
        <v>0.1076</v>
      </c>
      <c r="T102" s="182">
        <v>7.1900000000000006E-2</v>
      </c>
      <c r="U102" s="180">
        <v>9.1499999999999998E-2</v>
      </c>
      <c r="V102" s="182">
        <v>7.2099999999999997E-2</v>
      </c>
      <c r="W102" s="183">
        <v>4.9099999999999998E-2</v>
      </c>
      <c r="X102" s="184">
        <v>2.5999999999999999E-2</v>
      </c>
      <c r="Y102" s="185">
        <v>1.77E-2</v>
      </c>
      <c r="Z102" s="186">
        <v>8.0999999999999996E-3</v>
      </c>
      <c r="AA102" s="187">
        <v>2.0299999999999999E-2</v>
      </c>
      <c r="AB102" s="188">
        <v>2.8500000000000001E-2</v>
      </c>
    </row>
    <row r="103" spans="2:28" ht="20.25" customHeight="1">
      <c r="B103" s="130" t="s">
        <v>52</v>
      </c>
      <c r="C103" s="121">
        <v>9.4799999999999995E-2</v>
      </c>
      <c r="D103" s="121">
        <v>0.1474</v>
      </c>
      <c r="E103" s="121">
        <v>0.1285</v>
      </c>
      <c r="F103" s="121">
        <v>7.3999999999999996E-2</v>
      </c>
      <c r="G103" s="121">
        <v>7.5899999999999995E-2</v>
      </c>
      <c r="H103" s="121">
        <v>6.0699999999999997E-2</v>
      </c>
      <c r="I103" s="121">
        <v>3.1800000000000002E-2</v>
      </c>
      <c r="J103" s="121">
        <v>7.6E-3</v>
      </c>
      <c r="K103" s="121">
        <v>7.3000000000000001E-3</v>
      </c>
      <c r="L103" s="121">
        <v>5.7999999999999996E-3</v>
      </c>
      <c r="M103" s="121">
        <v>5.57E-2</v>
      </c>
      <c r="N103" s="122">
        <v>5.4399999999999997E-2</v>
      </c>
      <c r="O103" s="38"/>
      <c r="P103" s="189" t="s">
        <v>93</v>
      </c>
      <c r="Q103" s="190">
        <v>3.4200000000000001E-2</v>
      </c>
      <c r="R103" s="191">
        <v>3.85E-2</v>
      </c>
      <c r="S103" s="192">
        <v>4.4900000000000002E-2</v>
      </c>
      <c r="T103" s="193">
        <v>6.8699999999999997E-2</v>
      </c>
      <c r="U103" s="194">
        <v>0.1065</v>
      </c>
      <c r="V103" s="195">
        <v>0.1515</v>
      </c>
      <c r="W103" s="196">
        <v>0.13389999999999999</v>
      </c>
      <c r="X103" s="197">
        <v>4.7899999999999998E-2</v>
      </c>
      <c r="Y103" s="198">
        <v>9.1000000000000004E-3</v>
      </c>
      <c r="Z103" s="199">
        <v>9.7999999999999997E-3</v>
      </c>
      <c r="AA103" s="200">
        <v>1.21E-2</v>
      </c>
      <c r="AB103" s="201">
        <v>2.2200000000000001E-2</v>
      </c>
    </row>
    <row r="104" spans="2:28" ht="20.25" customHeight="1">
      <c r="B104" s="130" t="s">
        <v>94</v>
      </c>
      <c r="C104" s="121">
        <v>0.2132</v>
      </c>
      <c r="D104" s="121">
        <v>0.26190000000000002</v>
      </c>
      <c r="E104" s="121">
        <v>0.187</v>
      </c>
      <c r="F104" s="121">
        <v>7.9899999999999999E-2</v>
      </c>
      <c r="G104" s="121">
        <v>8.77E-2</v>
      </c>
      <c r="H104" s="121">
        <v>0.1323</v>
      </c>
      <c r="I104" s="121">
        <v>4.7399999999999998E-2</v>
      </c>
      <c r="J104" s="121">
        <v>3.1199999999999999E-2</v>
      </c>
      <c r="K104" s="121">
        <v>3.1199999999999999E-2</v>
      </c>
      <c r="L104" s="121">
        <v>5.4199999999999998E-2</v>
      </c>
      <c r="M104" s="121">
        <v>0.15759999999999999</v>
      </c>
      <c r="N104" s="122">
        <v>0.1691</v>
      </c>
      <c r="O104" s="38"/>
      <c r="P104" s="147"/>
      <c r="Q104" s="147"/>
      <c r="R104" s="147"/>
      <c r="S104" s="147"/>
      <c r="T104" s="147"/>
      <c r="U104" s="147"/>
      <c r="V104" s="147"/>
      <c r="W104" s="147"/>
      <c r="X104" s="147"/>
      <c r="Y104" s="147"/>
      <c r="Z104" s="147"/>
      <c r="AA104" s="147"/>
      <c r="AB104" s="147"/>
    </row>
    <row r="105" spans="2:28" ht="20.25" customHeight="1">
      <c r="B105" s="130" t="s">
        <v>95</v>
      </c>
      <c r="C105" s="121">
        <v>1.9400000000000001E-2</v>
      </c>
      <c r="D105" s="121">
        <v>4.3700000000000003E-2</v>
      </c>
      <c r="E105" s="121">
        <v>2.3900000000000001E-2</v>
      </c>
      <c r="F105" s="121">
        <v>8.8999999999999999E-3</v>
      </c>
      <c r="G105" s="121">
        <v>3.0000000000000001E-3</v>
      </c>
      <c r="H105" s="121">
        <v>3.3999999999999998E-3</v>
      </c>
      <c r="I105" s="121">
        <v>5.0000000000000001E-4</v>
      </c>
      <c r="J105" s="121">
        <v>0</v>
      </c>
      <c r="K105" s="121">
        <v>0</v>
      </c>
      <c r="L105" s="121">
        <v>1.5E-3</v>
      </c>
      <c r="M105" s="121">
        <v>1.8800000000000001E-2</v>
      </c>
      <c r="N105" s="122">
        <v>1.23E-2</v>
      </c>
      <c r="O105" s="38"/>
      <c r="P105" s="147"/>
      <c r="Q105" s="147"/>
      <c r="R105" s="147"/>
      <c r="S105" s="147"/>
      <c r="T105" s="147"/>
      <c r="U105" s="147"/>
      <c r="V105" s="147"/>
      <c r="W105" s="147"/>
      <c r="X105" s="147"/>
      <c r="Y105" s="147"/>
      <c r="Z105" s="147"/>
      <c r="AA105" s="147"/>
      <c r="AB105" s="147"/>
    </row>
    <row r="106" spans="2:28" ht="16.149999999999999" customHeight="1">
      <c r="B106" s="130" t="s">
        <v>96</v>
      </c>
      <c r="C106" s="121">
        <v>5.0700000000000002E-2</v>
      </c>
      <c r="D106" s="121">
        <v>8.7900000000000006E-2</v>
      </c>
      <c r="E106" s="121">
        <v>5.7000000000000002E-2</v>
      </c>
      <c r="F106" s="121">
        <v>2.6800000000000001E-2</v>
      </c>
      <c r="G106" s="121">
        <v>1.44E-2</v>
      </c>
      <c r="H106" s="121">
        <v>1.95E-2</v>
      </c>
      <c r="I106" s="121">
        <v>5.7999999999999996E-3</v>
      </c>
      <c r="J106" s="121">
        <v>0</v>
      </c>
      <c r="K106" s="121">
        <v>2.0999999999999999E-3</v>
      </c>
      <c r="L106" s="121">
        <v>2.5000000000000001E-3</v>
      </c>
      <c r="M106" s="121">
        <v>3.44E-2</v>
      </c>
      <c r="N106" s="122">
        <v>2.5999999999999999E-2</v>
      </c>
      <c r="O106" s="38"/>
      <c r="P106" s="147"/>
      <c r="Q106" s="175" t="s">
        <v>81</v>
      </c>
      <c r="R106" s="176" t="s">
        <v>82</v>
      </c>
      <c r="S106" s="176" t="s">
        <v>83</v>
      </c>
      <c r="T106" s="176" t="s">
        <v>84</v>
      </c>
      <c r="U106" s="176" t="s">
        <v>40</v>
      </c>
      <c r="V106" s="176" t="s">
        <v>85</v>
      </c>
      <c r="W106" s="176" t="s">
        <v>86</v>
      </c>
      <c r="X106" s="176" t="s">
        <v>87</v>
      </c>
      <c r="Y106" s="176" t="s">
        <v>88</v>
      </c>
      <c r="Z106" s="176" t="s">
        <v>89</v>
      </c>
      <c r="AA106" s="176" t="s">
        <v>90</v>
      </c>
      <c r="AB106" s="177" t="s">
        <v>91</v>
      </c>
    </row>
    <row r="107" spans="2:28" ht="16.149999999999999" customHeight="1">
      <c r="B107" s="131" t="s">
        <v>97</v>
      </c>
      <c r="C107" s="123">
        <v>0.11210000000000001</v>
      </c>
      <c r="D107" s="123">
        <v>6.5799999999999997E-2</v>
      </c>
      <c r="E107" s="123">
        <v>2.46E-2</v>
      </c>
      <c r="F107" s="123">
        <v>6.3E-3</v>
      </c>
      <c r="G107" s="123">
        <v>9.1999999999999998E-3</v>
      </c>
      <c r="H107" s="123">
        <v>3.2000000000000002E-3</v>
      </c>
      <c r="I107" s="123">
        <v>1.5E-3</v>
      </c>
      <c r="J107" s="123">
        <v>6.1000000000000004E-3</v>
      </c>
      <c r="K107" s="123">
        <v>0.1143</v>
      </c>
      <c r="L107" s="123">
        <v>0.36409999999999998</v>
      </c>
      <c r="M107" s="123">
        <v>0.27139999999999997</v>
      </c>
      <c r="N107" s="124">
        <v>0.21809999999999999</v>
      </c>
      <c r="O107" s="38"/>
      <c r="P107" s="178" t="s">
        <v>52</v>
      </c>
      <c r="Q107" s="202">
        <v>9.4799999999999995E-2</v>
      </c>
      <c r="R107" s="181">
        <v>0.1474</v>
      </c>
      <c r="S107" s="203">
        <v>0.1285</v>
      </c>
      <c r="T107" s="204">
        <v>7.3999999999999996E-2</v>
      </c>
      <c r="U107" s="205">
        <v>7.5899999999999995E-2</v>
      </c>
      <c r="V107" s="206">
        <v>6.0699999999999997E-2</v>
      </c>
      <c r="W107" s="207">
        <v>3.1800000000000002E-2</v>
      </c>
      <c r="X107" s="208">
        <v>7.6E-3</v>
      </c>
      <c r="Y107" s="208">
        <v>7.3000000000000001E-3</v>
      </c>
      <c r="Z107" s="186">
        <v>5.7999999999999996E-3</v>
      </c>
      <c r="AA107" s="209">
        <v>5.57E-2</v>
      </c>
      <c r="AB107" s="210">
        <v>5.4399999999999997E-2</v>
      </c>
    </row>
    <row r="108" spans="2:28" ht="16.149999999999999" customHeight="1">
      <c r="B108" s="132" t="s">
        <v>93</v>
      </c>
      <c r="C108" s="127">
        <v>3.4200000000000001E-2</v>
      </c>
      <c r="D108" s="127">
        <v>3.85E-2</v>
      </c>
      <c r="E108" s="127">
        <v>4.4900000000000002E-2</v>
      </c>
      <c r="F108" s="127">
        <v>6.8699999999999997E-2</v>
      </c>
      <c r="G108" s="127">
        <v>0.1065</v>
      </c>
      <c r="H108" s="127">
        <v>0.1515</v>
      </c>
      <c r="I108" s="127">
        <v>0.13389999999999999</v>
      </c>
      <c r="J108" s="127">
        <v>4.7899999999999998E-2</v>
      </c>
      <c r="K108" s="127">
        <v>9.1000000000000004E-3</v>
      </c>
      <c r="L108" s="127">
        <v>9.7999999999999997E-3</v>
      </c>
      <c r="M108" s="127">
        <v>1.21E-2</v>
      </c>
      <c r="N108" s="128">
        <v>2.2200000000000001E-2</v>
      </c>
      <c r="O108" s="38"/>
      <c r="P108" s="211" t="s">
        <v>95</v>
      </c>
      <c r="Q108" s="212">
        <v>1.9400000000000001E-2</v>
      </c>
      <c r="R108" s="181">
        <v>4.3700000000000003E-2</v>
      </c>
      <c r="S108" s="213">
        <v>2.3900000000000001E-2</v>
      </c>
      <c r="T108" s="214">
        <v>8.8999999999999999E-3</v>
      </c>
      <c r="U108" s="215">
        <v>3.0000000000000001E-3</v>
      </c>
      <c r="V108" s="216">
        <v>3.3999999999999998E-3</v>
      </c>
      <c r="W108" s="217">
        <v>5.0000000000000001E-4</v>
      </c>
      <c r="X108" s="186">
        <v>0</v>
      </c>
      <c r="Y108" s="186">
        <v>0</v>
      </c>
      <c r="Z108" s="218">
        <v>1.5E-3</v>
      </c>
      <c r="AA108" s="219">
        <v>1.8800000000000001E-2</v>
      </c>
      <c r="AB108" s="220">
        <v>1.23E-2</v>
      </c>
    </row>
    <row r="109" spans="2:28" ht="16.149999999999999" customHeight="1">
      <c r="B109" s="132" t="s">
        <v>98</v>
      </c>
      <c r="C109" s="118">
        <v>7.4300000000000005E-2</v>
      </c>
      <c r="D109" s="118">
        <v>4.07E-2</v>
      </c>
      <c r="E109" s="118">
        <v>1.77E-2</v>
      </c>
      <c r="F109" s="118">
        <v>1.83E-2</v>
      </c>
      <c r="G109" s="118">
        <v>2.2100000000000002E-2</v>
      </c>
      <c r="H109" s="118">
        <v>2.1600000000000001E-2</v>
      </c>
      <c r="I109" s="118">
        <v>2.1299999999999999E-2</v>
      </c>
      <c r="J109" s="118">
        <v>1.9400000000000001E-2</v>
      </c>
      <c r="K109" s="118">
        <v>5.1400000000000001E-2</v>
      </c>
      <c r="L109" s="118">
        <v>0.1081</v>
      </c>
      <c r="M109" s="118">
        <v>0.1046</v>
      </c>
      <c r="N109" s="118">
        <v>9.98E-2</v>
      </c>
      <c r="O109" s="38"/>
      <c r="P109" s="221" t="s">
        <v>97</v>
      </c>
      <c r="Q109" s="222">
        <v>0.11210000000000001</v>
      </c>
      <c r="R109" s="214">
        <v>6.5799999999999997E-2</v>
      </c>
      <c r="S109" s="223">
        <v>2.46E-2</v>
      </c>
      <c r="T109" s="224">
        <v>6.3E-3</v>
      </c>
      <c r="U109" s="225">
        <v>9.1999999999999998E-3</v>
      </c>
      <c r="V109" s="226">
        <v>3.2000000000000002E-3</v>
      </c>
      <c r="W109" s="186">
        <v>1.5E-3</v>
      </c>
      <c r="X109" s="224">
        <v>6.1000000000000004E-3</v>
      </c>
      <c r="Y109" s="222">
        <v>0.1143</v>
      </c>
      <c r="Z109" s="181">
        <v>0.36409999999999998</v>
      </c>
      <c r="AA109" s="180">
        <v>0.27139999999999997</v>
      </c>
      <c r="AB109" s="227">
        <v>0.21809999999999999</v>
      </c>
    </row>
    <row r="110" spans="2:28" ht="16.149999999999999" customHeight="1">
      <c r="O110" s="38"/>
      <c r="P110" s="147"/>
      <c r="Q110" s="147"/>
      <c r="R110" s="147"/>
      <c r="S110" s="147"/>
      <c r="T110" s="147"/>
      <c r="U110" s="147"/>
      <c r="V110" s="147"/>
      <c r="W110" s="147"/>
      <c r="X110" s="147"/>
      <c r="Y110" s="147"/>
      <c r="Z110" s="147"/>
      <c r="AA110" s="147"/>
      <c r="AB110" s="147"/>
    </row>
    <row r="111" spans="2:28" ht="16.149999999999999" customHeight="1">
      <c r="O111" s="38"/>
      <c r="P111" s="147"/>
      <c r="Q111" s="175"/>
      <c r="R111" s="176"/>
      <c r="S111" s="176"/>
      <c r="T111" s="176"/>
      <c r="U111" s="176"/>
      <c r="V111" s="176"/>
      <c r="W111" s="176"/>
      <c r="X111" s="176"/>
      <c r="Y111" s="176"/>
      <c r="Z111" s="176"/>
      <c r="AA111" s="176"/>
      <c r="AB111" s="177"/>
    </row>
    <row r="112" spans="2:28" ht="16.149999999999999" customHeight="1">
      <c r="O112" s="38"/>
      <c r="P112" s="147"/>
      <c r="Q112" s="175" t="s">
        <v>81</v>
      </c>
      <c r="R112" s="176" t="s">
        <v>82</v>
      </c>
      <c r="S112" s="176" t="s">
        <v>83</v>
      </c>
      <c r="T112" s="176" t="s">
        <v>84</v>
      </c>
      <c r="U112" s="176" t="s">
        <v>40</v>
      </c>
      <c r="V112" s="176" t="s">
        <v>85</v>
      </c>
      <c r="W112" s="176" t="s">
        <v>86</v>
      </c>
      <c r="X112" s="176" t="s">
        <v>87</v>
      </c>
      <c r="Y112" s="176" t="s">
        <v>88</v>
      </c>
      <c r="Z112" s="176" t="s">
        <v>89</v>
      </c>
      <c r="AA112" s="176" t="s">
        <v>90</v>
      </c>
      <c r="AB112" s="177" t="s">
        <v>91</v>
      </c>
    </row>
    <row r="113" spans="15:28">
      <c r="O113" s="38"/>
      <c r="P113" s="178" t="s">
        <v>94</v>
      </c>
      <c r="Q113" s="228">
        <v>0.2132</v>
      </c>
      <c r="R113" s="181">
        <v>0.26190000000000002</v>
      </c>
      <c r="S113" s="229">
        <v>0.187</v>
      </c>
      <c r="T113" s="230">
        <v>7.9899999999999999E-2</v>
      </c>
      <c r="U113" s="231">
        <v>8.77E-2</v>
      </c>
      <c r="V113" s="232">
        <v>0.1323</v>
      </c>
      <c r="W113" s="233">
        <v>4.7399999999999998E-2</v>
      </c>
      <c r="X113" s="186">
        <v>3.1199999999999999E-2</v>
      </c>
      <c r="Y113" s="186">
        <v>3.1199999999999999E-2</v>
      </c>
      <c r="Z113" s="187">
        <v>5.4199999999999998E-2</v>
      </c>
      <c r="AA113" s="234">
        <v>0.15759999999999999</v>
      </c>
      <c r="AB113" s="235">
        <v>0.1691</v>
      </c>
    </row>
    <row r="114" spans="15:28">
      <c r="P114" s="211" t="s">
        <v>96</v>
      </c>
      <c r="Q114" s="236">
        <v>5.0700000000000002E-2</v>
      </c>
      <c r="R114" s="181">
        <v>8.7900000000000006E-2</v>
      </c>
      <c r="S114" s="237">
        <v>5.7000000000000002E-2</v>
      </c>
      <c r="T114" s="214">
        <v>2.6800000000000001E-2</v>
      </c>
      <c r="U114" s="238">
        <v>1.44E-2</v>
      </c>
      <c r="V114" s="239">
        <v>1.95E-2</v>
      </c>
      <c r="W114" s="240">
        <v>5.7999999999999996E-3</v>
      </c>
      <c r="X114" s="186">
        <v>0</v>
      </c>
      <c r="Y114" s="241">
        <v>2.0999999999999999E-3</v>
      </c>
      <c r="Z114" s="224">
        <v>2.5000000000000001E-3</v>
      </c>
      <c r="AA114" s="204">
        <v>3.44E-2</v>
      </c>
      <c r="AB114" s="242">
        <v>2.5999999999999999E-2</v>
      </c>
    </row>
    <row r="116" spans="15:28"/>
    <row r="117" spans="15:28"/>
    <row r="118" spans="15:28"/>
    <row r="119" spans="15:28"/>
    <row r="120" spans="15:28"/>
    <row r="121" spans="15:28"/>
    <row r="122" spans="15:28"/>
    <row r="123" spans="15:28"/>
    <row r="124" spans="15:28"/>
  </sheetData>
  <mergeCells count="1">
    <mergeCell ref="B2:O2"/>
  </mergeCells>
  <phoneticPr fontId="5" type="noConversion"/>
  <conditionalFormatting sqref="C94:H94">
    <cfRule type="cellIs" dxfId="72" priority="6" operator="between">
      <formula>0.8</formula>
      <formula>0.9</formula>
    </cfRule>
    <cfRule type="cellIs" dxfId="71" priority="7" operator="lessThan">
      <formula>0.8</formula>
    </cfRule>
    <cfRule type="cellIs" dxfId="70" priority="8" operator="lessThan">
      <formula>0.8</formula>
    </cfRule>
  </conditionalFormatting>
  <conditionalFormatting sqref="F94:H94">
    <cfRule type="cellIs" dxfId="69" priority="5" operator="between">
      <formula>0.8</formula>
      <formula>0.9</formula>
    </cfRule>
  </conditionalFormatting>
  <conditionalFormatting sqref="C94:N94">
    <cfRule type="cellIs" dxfId="68" priority="9" operator="greaterThanOrEqual">
      <formula>0.9</formula>
    </cfRule>
  </conditionalFormatting>
  <conditionalFormatting sqref="C94:N94">
    <cfRule type="cellIs" dxfId="67" priority="10" operator="lessThan">
      <formula>0.75</formula>
    </cfRule>
  </conditionalFormatting>
  <conditionalFormatting sqref="C94:N94">
    <cfRule type="cellIs" dxfId="66" priority="13" operator="greaterThanOrEqual">
      <formula>0.9</formula>
    </cfRule>
  </conditionalFormatting>
  <conditionalFormatting sqref="C94:N94">
    <cfRule type="cellIs" dxfId="65" priority="14" operator="lessThan">
      <formula>0.75</formula>
    </cfRule>
  </conditionalFormatting>
  <conditionalFormatting sqref="M94:N94">
    <cfRule type="cellIs" dxfId="64" priority="2" operator="between">
      <formula>0.8</formula>
      <formula>0.9</formula>
    </cfRule>
    <cfRule type="cellIs" dxfId="63" priority="3" operator="lessThan">
      <formula>0.8</formula>
    </cfRule>
    <cfRule type="cellIs" dxfId="62" priority="4" operator="lessThan">
      <formula>0.8</formula>
    </cfRule>
  </conditionalFormatting>
  <conditionalFormatting sqref="M94:N94">
    <cfRule type="cellIs" dxfId="61" priority="1" operator="between">
      <formula>0.8</formula>
      <formula>0.9</formula>
    </cfRule>
  </conditionalFormatting>
  <conditionalFormatting sqref="C102:N109">
    <cfRule type="colorScale" priority="15">
      <colorScale>
        <cfvo type="min"/>
        <cfvo type="percentile" val="50"/>
        <cfvo type="max"/>
        <color rgb="FFC6EFCE"/>
        <color rgb="FFFFEB9C"/>
        <color rgb="FFFFC7CE"/>
      </colorScale>
    </cfRule>
  </conditionalFormatting>
  <pageMargins left="0.7" right="0.7" top="0.75" bottom="0.75" header="0.3" footer="0.3"/>
  <pageSetup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51A83-008C-4821-A343-5A2B437DA737}">
  <dimension ref="A1"/>
  <sheetViews>
    <sheetView workbookViewId="0"/>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6EECD-14A1-487F-91BD-3FAC7E4831F8}">
  <dimension ref="A1"/>
  <sheetViews>
    <sheetView workbookViewId="0"/>
  </sheetViews>
  <sheetFormatPr defaultRowHeight="14.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6E323-229E-4E86-B641-0621B7010238}">
  <dimension ref="B1:N63"/>
  <sheetViews>
    <sheetView tabSelected="1" topLeftCell="A13" workbookViewId="0">
      <selection activeCell="H15" sqref="H15"/>
    </sheetView>
  </sheetViews>
  <sheetFormatPr defaultRowHeight="14.45"/>
  <cols>
    <col min="1" max="1" width="3" customWidth="1"/>
    <col min="2" max="2" width="22.140625" customWidth="1"/>
    <col min="3" max="3" width="9.85546875" bestFit="1" customWidth="1"/>
    <col min="4" max="4" width="12.5703125" customWidth="1"/>
    <col min="5" max="11" width="12.7109375" customWidth="1"/>
    <col min="12" max="16" width="10.7109375" customWidth="1"/>
  </cols>
  <sheetData>
    <row r="1" spans="2:12" ht="15"/>
    <row r="2" spans="2:12" ht="33.75">
      <c r="F2" t="s">
        <v>99</v>
      </c>
    </row>
    <row r="3" spans="2:12" ht="15"/>
    <row r="4" spans="2:12" ht="28.5">
      <c r="G4" s="5" t="s">
        <v>100</v>
      </c>
    </row>
    <row r="5" spans="2:12" ht="15"/>
    <row r="6" spans="2:12" ht="15">
      <c r="F6" s="6" t="s">
        <v>101</v>
      </c>
      <c r="H6" s="6" t="s">
        <v>102</v>
      </c>
      <c r="J6" s="6" t="s">
        <v>2</v>
      </c>
      <c r="L6" s="6" t="s">
        <v>3</v>
      </c>
    </row>
    <row r="7" spans="2:12" ht="15">
      <c r="F7" s="6" t="s">
        <v>103</v>
      </c>
      <c r="H7" s="6">
        <v>8</v>
      </c>
      <c r="J7" s="6" t="s">
        <v>5</v>
      </c>
      <c r="L7" s="7">
        <v>46113</v>
      </c>
    </row>
    <row r="8" spans="2:12" ht="15">
      <c r="J8" s="6" t="s">
        <v>104</v>
      </c>
    </row>
    <row r="9" spans="2:12" ht="15"/>
    <row r="10" spans="2:12" ht="23.25">
      <c r="B10" s="3" t="s">
        <v>105</v>
      </c>
    </row>
    <row r="11" spans="2:12" ht="15"/>
    <row r="12" spans="2:12" ht="15"/>
    <row r="13" spans="2:12" ht="15">
      <c r="G13" s="246" t="s">
        <v>106</v>
      </c>
      <c r="H13" s="246"/>
    </row>
    <row r="14" spans="2:12" ht="15">
      <c r="B14" s="9" t="s">
        <v>107</v>
      </c>
      <c r="C14" s="9" t="s">
        <v>108</v>
      </c>
      <c r="D14" s="9" t="s">
        <v>109</v>
      </c>
      <c r="E14" s="9" t="s">
        <v>110</v>
      </c>
      <c r="F14" s="9" t="s">
        <v>111</v>
      </c>
      <c r="G14" s="10" t="s">
        <v>106</v>
      </c>
      <c r="H14" s="10" t="s">
        <v>112</v>
      </c>
    </row>
    <row r="15" spans="2:12" ht="15">
      <c r="B15" s="10" t="s">
        <v>113</v>
      </c>
      <c r="C15" s="10">
        <v>0</v>
      </c>
      <c r="D15" s="10" t="s">
        <v>114</v>
      </c>
      <c r="E15" s="10" t="s">
        <v>115</v>
      </c>
      <c r="F15" s="10" t="s">
        <v>116</v>
      </c>
      <c r="G15" s="10">
        <v>2.37</v>
      </c>
      <c r="H15" s="10" t="s">
        <v>117</v>
      </c>
    </row>
    <row r="16" spans="2:12" ht="15">
      <c r="B16" s="10" t="s">
        <v>118</v>
      </c>
      <c r="C16" s="10">
        <v>80</v>
      </c>
      <c r="D16" s="10"/>
      <c r="E16" s="10"/>
      <c r="F16" s="10"/>
      <c r="G16" s="10"/>
      <c r="H16" s="10"/>
    </row>
    <row r="17" spans="2:14" ht="15">
      <c r="B17" s="10" t="s">
        <v>119</v>
      </c>
      <c r="C17" s="10">
        <v>100</v>
      </c>
      <c r="D17" s="10"/>
      <c r="E17" s="10"/>
      <c r="F17" s="10"/>
      <c r="G17" s="10"/>
      <c r="H17" s="10"/>
    </row>
    <row r="18" spans="2:14" ht="15">
      <c r="B18" s="10" t="s">
        <v>120</v>
      </c>
      <c r="C18" s="10">
        <v>40</v>
      </c>
      <c r="D18" s="10"/>
      <c r="E18" s="10"/>
      <c r="F18" s="10"/>
      <c r="G18" s="10"/>
      <c r="H18" s="10"/>
    </row>
    <row r="19" spans="2:14" ht="15">
      <c r="B19" s="10" t="s">
        <v>121</v>
      </c>
      <c r="C19" s="10">
        <v>140</v>
      </c>
      <c r="D19" s="10"/>
      <c r="E19" s="10"/>
      <c r="F19" s="10"/>
      <c r="G19" s="10"/>
      <c r="H19" s="10"/>
    </row>
    <row r="20" spans="2:14" ht="15">
      <c r="B20" s="10" t="s">
        <v>122</v>
      </c>
      <c r="C20" s="10">
        <v>60</v>
      </c>
      <c r="D20" s="10"/>
      <c r="E20" s="10"/>
      <c r="F20" s="10"/>
      <c r="G20" s="10"/>
      <c r="H20" s="10"/>
    </row>
    <row r="21" spans="2:14" ht="15">
      <c r="B21" s="10" t="s">
        <v>123</v>
      </c>
      <c r="C21" s="10">
        <v>180</v>
      </c>
      <c r="D21" s="10"/>
      <c r="E21" s="10"/>
      <c r="F21" s="10"/>
      <c r="G21" s="10"/>
      <c r="H21" s="10"/>
    </row>
    <row r="22" spans="2:14" ht="15">
      <c r="B22" s="10" t="s">
        <v>124</v>
      </c>
      <c r="C22" s="10">
        <v>100</v>
      </c>
      <c r="D22" s="10"/>
      <c r="E22" s="10"/>
      <c r="F22" s="10"/>
    </row>
    <row r="23" spans="2:14" ht="15"/>
    <row r="24" spans="2:14" ht="15"/>
    <row r="25" spans="2:14" ht="23.25">
      <c r="B25" s="3" t="s">
        <v>125</v>
      </c>
    </row>
    <row r="26" spans="2:14" ht="15"/>
    <row r="27" spans="2:14" ht="15">
      <c r="B27" s="9" t="s">
        <v>126</v>
      </c>
      <c r="C27" s="9" t="s">
        <v>127</v>
      </c>
      <c r="D27" s="9" t="s">
        <v>128</v>
      </c>
      <c r="E27" s="9" t="s">
        <v>129</v>
      </c>
      <c r="F27" s="9" t="s">
        <v>130</v>
      </c>
      <c r="G27" s="9" t="s">
        <v>131</v>
      </c>
      <c r="H27" s="9" t="s">
        <v>132</v>
      </c>
      <c r="I27" s="9" t="s">
        <v>133</v>
      </c>
      <c r="J27" s="9" t="s">
        <v>134</v>
      </c>
      <c r="K27" s="9" t="s">
        <v>135</v>
      </c>
      <c r="L27" s="9" t="s">
        <v>136</v>
      </c>
      <c r="M27" s="9" t="s">
        <v>137</v>
      </c>
      <c r="N27" s="9" t="s">
        <v>138</v>
      </c>
    </row>
    <row r="28" spans="2:14" ht="15">
      <c r="B28" s="10" t="s">
        <v>118</v>
      </c>
      <c r="C28" s="33">
        <v>0.78480000000000005</v>
      </c>
      <c r="D28" s="33">
        <v>0.70269999999999999</v>
      </c>
      <c r="E28" s="33">
        <v>0.71120000000000005</v>
      </c>
      <c r="F28" s="33">
        <v>0.82469999999999999</v>
      </c>
      <c r="G28" s="33">
        <v>0.78779999999999994</v>
      </c>
      <c r="H28" s="33">
        <v>0.81799999999999995</v>
      </c>
      <c r="I28" s="33">
        <v>0.90200000000000002</v>
      </c>
      <c r="J28" s="33">
        <v>0.94830000000000003</v>
      </c>
      <c r="K28" s="33">
        <v>0.9617</v>
      </c>
      <c r="L28" s="33">
        <v>0.95789999999999997</v>
      </c>
      <c r="M28" s="33">
        <v>0.85570000000000002</v>
      </c>
      <c r="N28" s="33">
        <v>0.82709999999999995</v>
      </c>
    </row>
    <row r="29" spans="2:14" ht="15">
      <c r="B29" s="10" t="s">
        <v>121</v>
      </c>
      <c r="C29" s="33">
        <v>0.80449999999999999</v>
      </c>
      <c r="D29" s="33">
        <v>0.73270000000000002</v>
      </c>
      <c r="E29" s="33">
        <v>0.70120000000000005</v>
      </c>
      <c r="F29" s="33">
        <v>0.88470000000000004</v>
      </c>
      <c r="G29" s="33">
        <v>0.80779999999999996</v>
      </c>
      <c r="H29" s="33">
        <v>0.748</v>
      </c>
      <c r="I29" s="33">
        <v>0.89200000000000002</v>
      </c>
      <c r="J29" s="33">
        <v>0.92830000000000001</v>
      </c>
      <c r="K29" s="33">
        <v>0.90169999999999995</v>
      </c>
      <c r="L29" s="33">
        <v>0.89790000000000003</v>
      </c>
      <c r="M29" s="33">
        <v>0.8357</v>
      </c>
      <c r="N29" s="33">
        <v>0.79710000000000003</v>
      </c>
    </row>
    <row r="30" spans="2:14" ht="15">
      <c r="B30" s="10" t="s">
        <v>123</v>
      </c>
      <c r="C30" s="33">
        <v>0.73899999999999999</v>
      </c>
      <c r="D30" s="33">
        <v>0.77270000000000005</v>
      </c>
      <c r="E30" s="33">
        <v>0.80120000000000002</v>
      </c>
      <c r="F30" s="33">
        <v>0.86470000000000002</v>
      </c>
      <c r="G30" s="33">
        <v>0.91779999999999995</v>
      </c>
      <c r="H30" s="33">
        <v>0.94799999999999995</v>
      </c>
      <c r="I30" s="33">
        <v>0.95199999999999996</v>
      </c>
      <c r="J30" s="33">
        <v>0.87829999999999997</v>
      </c>
      <c r="K30" s="33">
        <v>0.86170000000000002</v>
      </c>
      <c r="L30" s="33">
        <v>0.78790000000000004</v>
      </c>
      <c r="M30" s="33">
        <v>0.82569999999999999</v>
      </c>
      <c r="N30" s="33">
        <v>0.80710000000000004</v>
      </c>
    </row>
    <row r="31" spans="2:14" ht="15"/>
    <row r="32" spans="2:14" ht="15">
      <c r="B32" t="s">
        <v>139</v>
      </c>
    </row>
    <row r="33" spans="2:9" ht="15"/>
    <row r="34" spans="2:9" ht="23.25">
      <c r="B34" s="3" t="s">
        <v>7</v>
      </c>
    </row>
    <row r="35" spans="2:9" ht="15"/>
    <row r="36" spans="2:9" ht="15"/>
    <row r="37" spans="2:9" ht="15.75" customHeight="1">
      <c r="B37" s="11" t="s">
        <v>8</v>
      </c>
      <c r="C37" s="11" t="s">
        <v>9</v>
      </c>
      <c r="D37" s="11" t="s">
        <v>10</v>
      </c>
      <c r="E37" s="11" t="s">
        <v>11</v>
      </c>
      <c r="F37" s="11" t="s">
        <v>12</v>
      </c>
      <c r="G37" s="11" t="s">
        <v>13</v>
      </c>
      <c r="H37" s="11" t="s">
        <v>14</v>
      </c>
      <c r="I37" s="11" t="s">
        <v>140</v>
      </c>
    </row>
    <row r="38" spans="2:9" ht="15.75" customHeight="1">
      <c r="B38" s="10" t="s">
        <v>16</v>
      </c>
      <c r="C38" s="6" t="s">
        <v>17</v>
      </c>
      <c r="D38" s="6">
        <v>11.85</v>
      </c>
      <c r="E38" s="6">
        <v>12.83</v>
      </c>
      <c r="F38" s="6">
        <v>12.94</v>
      </c>
      <c r="G38" s="6">
        <v>12.96</v>
      </c>
      <c r="H38" s="6"/>
      <c r="I38" s="6" t="s">
        <v>18</v>
      </c>
    </row>
    <row r="39" spans="2:9" ht="15.75" customHeight="1">
      <c r="B39" s="10" t="s">
        <v>19</v>
      </c>
      <c r="C39" s="6" t="s">
        <v>17</v>
      </c>
      <c r="D39" s="6">
        <v>17.920000000000002</v>
      </c>
      <c r="E39" s="6">
        <v>18.98</v>
      </c>
      <c r="F39" s="6">
        <v>19.559999999999999</v>
      </c>
      <c r="G39" s="6">
        <v>19.73</v>
      </c>
      <c r="H39" s="6"/>
      <c r="I39" s="6" t="s">
        <v>18</v>
      </c>
    </row>
    <row r="40" spans="2:9" ht="15.75" customHeight="1">
      <c r="B40" s="10" t="s">
        <v>20</v>
      </c>
      <c r="C40" s="6" t="s">
        <v>21</v>
      </c>
      <c r="D40" s="8">
        <v>1.31</v>
      </c>
      <c r="E40" s="8">
        <v>1.41</v>
      </c>
      <c r="F40" s="8">
        <v>1.51</v>
      </c>
      <c r="G40" s="8">
        <v>1.55</v>
      </c>
      <c r="H40" s="6"/>
      <c r="I40" s="6" t="s">
        <v>22</v>
      </c>
    </row>
    <row r="41" spans="2:9" ht="15.75" customHeight="1">
      <c r="B41" s="10" t="s">
        <v>23</v>
      </c>
      <c r="C41" s="6" t="s">
        <v>24</v>
      </c>
      <c r="D41" s="8">
        <v>8.1999999999999993</v>
      </c>
      <c r="E41" s="8">
        <v>8.3000000000000007</v>
      </c>
      <c r="F41" s="8">
        <v>8.35</v>
      </c>
      <c r="G41" s="8">
        <v>8.35</v>
      </c>
      <c r="H41" s="6"/>
      <c r="I41" s="6" t="s">
        <v>18</v>
      </c>
    </row>
    <row r="42" spans="2:9" ht="15.75" customHeight="1">
      <c r="B42" s="10" t="s">
        <v>25</v>
      </c>
      <c r="C42" s="6" t="s">
        <v>21</v>
      </c>
      <c r="D42" s="8">
        <v>0.76</v>
      </c>
      <c r="E42" s="8">
        <v>0.81</v>
      </c>
      <c r="F42" s="8">
        <v>0.83</v>
      </c>
      <c r="G42" s="8">
        <v>0.84</v>
      </c>
      <c r="H42" s="6"/>
      <c r="I42" s="6" t="s">
        <v>22</v>
      </c>
    </row>
    <row r="43" spans="2:9" ht="15.75" customHeight="1">
      <c r="B43" s="10" t="s">
        <v>26</v>
      </c>
      <c r="C43" s="6" t="s">
        <v>24</v>
      </c>
      <c r="D43" s="8">
        <v>7.95</v>
      </c>
      <c r="E43" s="8">
        <v>8.4</v>
      </c>
      <c r="F43" s="8">
        <v>8.6</v>
      </c>
      <c r="G43" s="8">
        <v>8.66</v>
      </c>
      <c r="H43" s="6"/>
      <c r="I43" s="6" t="s">
        <v>18</v>
      </c>
    </row>
    <row r="44" spans="2:9" ht="15.75" customHeight="1">
      <c r="B44" s="10" t="s">
        <v>27</v>
      </c>
      <c r="C44" s="6" t="s">
        <v>17</v>
      </c>
      <c r="D44" s="8">
        <v>0.17</v>
      </c>
      <c r="E44" s="8">
        <v>0.252</v>
      </c>
      <c r="F44" s="8">
        <v>0.46600000000000003</v>
      </c>
      <c r="G44" s="8">
        <v>0.67900000000000005</v>
      </c>
      <c r="H44" s="6"/>
      <c r="I44" s="6" t="s">
        <v>22</v>
      </c>
    </row>
    <row r="45" spans="2:9" ht="15.75" customHeight="1">
      <c r="B45" s="10" t="s">
        <v>28</v>
      </c>
      <c r="C45" s="6" t="s">
        <v>21</v>
      </c>
      <c r="D45" s="12">
        <v>0.4844</v>
      </c>
      <c r="E45" s="12">
        <v>0.76200000000000001</v>
      </c>
      <c r="F45" s="12">
        <v>0.86829999999999996</v>
      </c>
      <c r="G45" s="12">
        <v>0.91010000000000002</v>
      </c>
      <c r="H45" s="6"/>
      <c r="I45" s="6" t="s">
        <v>22</v>
      </c>
    </row>
    <row r="46" spans="2:9" ht="15.75" customHeight="1">
      <c r="B46" s="10"/>
      <c r="C46" s="6"/>
      <c r="D46" s="8"/>
      <c r="E46" s="8"/>
      <c r="F46" s="8"/>
      <c r="G46" s="8"/>
      <c r="H46" s="6"/>
      <c r="I46" s="6"/>
    </row>
    <row r="47" spans="2:9" ht="15.75" customHeight="1">
      <c r="B47" s="10"/>
      <c r="C47" s="6"/>
      <c r="D47" s="8"/>
      <c r="E47" s="8"/>
      <c r="F47" s="8"/>
      <c r="G47" s="8"/>
      <c r="H47" s="6"/>
      <c r="I47" s="6"/>
    </row>
    <row r="48" spans="2:9" ht="15"/>
    <row r="49" spans="2:14" ht="15"/>
    <row r="50" spans="2:14" ht="15"/>
    <row r="51" spans="2:14" ht="15"/>
    <row r="52" spans="2:14" ht="23.25">
      <c r="B52" s="133" t="s">
        <v>141</v>
      </c>
    </row>
    <row r="53" spans="2:14" ht="15"/>
    <row r="54" spans="2:14" ht="15">
      <c r="B54" s="137" t="s">
        <v>142</v>
      </c>
    </row>
    <row r="55" spans="2:14" ht="18" customHeight="1">
      <c r="B55" s="129" t="s">
        <v>80</v>
      </c>
      <c r="C55" s="125" t="s">
        <v>81</v>
      </c>
      <c r="D55" s="125" t="s">
        <v>82</v>
      </c>
      <c r="E55" s="125" t="s">
        <v>83</v>
      </c>
      <c r="F55" s="125" t="s">
        <v>84</v>
      </c>
      <c r="G55" s="125" t="s">
        <v>40</v>
      </c>
      <c r="H55" s="125" t="s">
        <v>85</v>
      </c>
      <c r="I55" s="125" t="s">
        <v>86</v>
      </c>
      <c r="J55" s="125" t="s">
        <v>87</v>
      </c>
      <c r="K55" s="125" t="s">
        <v>88</v>
      </c>
      <c r="L55" s="125" t="s">
        <v>89</v>
      </c>
      <c r="M55" s="125" t="s">
        <v>90</v>
      </c>
      <c r="N55" s="126" t="s">
        <v>91</v>
      </c>
    </row>
    <row r="56" spans="2:14" ht="18" customHeight="1">
      <c r="B56" s="134" t="s">
        <v>92</v>
      </c>
      <c r="C56" s="121">
        <v>5.3900000000000003E-2</v>
      </c>
      <c r="D56" s="121">
        <v>9.1800000000000007E-2</v>
      </c>
      <c r="E56" s="121">
        <v>0.1076</v>
      </c>
      <c r="F56" s="121">
        <v>7.1900000000000006E-2</v>
      </c>
      <c r="G56" s="121">
        <v>9.1499999999999998E-2</v>
      </c>
      <c r="H56" s="121">
        <v>7.2099999999999997E-2</v>
      </c>
      <c r="I56" s="121">
        <v>4.9099999999999998E-2</v>
      </c>
      <c r="J56" s="121">
        <v>2.5999999999999999E-2</v>
      </c>
      <c r="K56" s="121">
        <v>1.77E-2</v>
      </c>
      <c r="L56" s="121">
        <v>8.0999999999999996E-3</v>
      </c>
      <c r="M56" s="121">
        <v>2.0299999999999999E-2</v>
      </c>
      <c r="N56" s="122">
        <v>2.8500000000000001E-2</v>
      </c>
    </row>
    <row r="57" spans="2:14" ht="18" customHeight="1">
      <c r="B57" s="134" t="s">
        <v>52</v>
      </c>
      <c r="C57" s="121">
        <v>9.4799999999999995E-2</v>
      </c>
      <c r="D57" s="121">
        <v>0.1474</v>
      </c>
      <c r="E57" s="121">
        <v>0.1285</v>
      </c>
      <c r="F57" s="121">
        <v>7.3999999999999996E-2</v>
      </c>
      <c r="G57" s="121">
        <v>7.5899999999999995E-2</v>
      </c>
      <c r="H57" s="121">
        <v>6.0699999999999997E-2</v>
      </c>
      <c r="I57" s="121">
        <v>3.1800000000000002E-2</v>
      </c>
      <c r="J57" s="121">
        <v>7.6E-3</v>
      </c>
      <c r="K57" s="121">
        <v>7.3000000000000001E-3</v>
      </c>
      <c r="L57" s="121">
        <v>5.7999999999999996E-3</v>
      </c>
      <c r="M57" s="121">
        <v>5.57E-2</v>
      </c>
      <c r="N57" s="122">
        <v>5.4399999999999997E-2</v>
      </c>
    </row>
    <row r="58" spans="2:14" ht="18" customHeight="1">
      <c r="B58" s="134" t="s">
        <v>94</v>
      </c>
      <c r="C58" s="121">
        <v>0.2132</v>
      </c>
      <c r="D58" s="121">
        <v>0.26190000000000002</v>
      </c>
      <c r="E58" s="121">
        <v>0.187</v>
      </c>
      <c r="F58" s="121">
        <v>7.9899999999999999E-2</v>
      </c>
      <c r="G58" s="121">
        <v>8.77E-2</v>
      </c>
      <c r="H58" s="121">
        <v>0.1323</v>
      </c>
      <c r="I58" s="121">
        <v>4.7399999999999998E-2</v>
      </c>
      <c r="J58" s="121">
        <v>3.1199999999999999E-2</v>
      </c>
      <c r="K58" s="121">
        <v>3.1199999999999999E-2</v>
      </c>
      <c r="L58" s="121">
        <v>5.4199999999999998E-2</v>
      </c>
      <c r="M58" s="121">
        <v>0.15759999999999999</v>
      </c>
      <c r="N58" s="122">
        <v>0.1691</v>
      </c>
    </row>
    <row r="59" spans="2:14" ht="18" customHeight="1">
      <c r="B59" s="134" t="s">
        <v>95</v>
      </c>
      <c r="C59" s="121">
        <v>1.9400000000000001E-2</v>
      </c>
      <c r="D59" s="121">
        <v>4.3700000000000003E-2</v>
      </c>
      <c r="E59" s="121">
        <v>2.3900000000000001E-2</v>
      </c>
      <c r="F59" s="121">
        <v>8.8999999999999999E-3</v>
      </c>
      <c r="G59" s="121">
        <v>3.0000000000000001E-3</v>
      </c>
      <c r="H59" s="121">
        <v>3.3999999999999998E-3</v>
      </c>
      <c r="I59" s="121">
        <v>5.0000000000000001E-4</v>
      </c>
      <c r="J59" s="121">
        <v>0</v>
      </c>
      <c r="K59" s="121">
        <v>0</v>
      </c>
      <c r="L59" s="121">
        <v>1.5E-3</v>
      </c>
      <c r="M59" s="121">
        <v>1.8800000000000001E-2</v>
      </c>
      <c r="N59" s="122">
        <v>1.23E-2</v>
      </c>
    </row>
    <row r="60" spans="2:14" ht="18" customHeight="1">
      <c r="B60" s="134" t="s">
        <v>96</v>
      </c>
      <c r="C60" s="121">
        <v>5.0700000000000002E-2</v>
      </c>
      <c r="D60" s="121">
        <v>8.7900000000000006E-2</v>
      </c>
      <c r="E60" s="121">
        <v>5.7000000000000002E-2</v>
      </c>
      <c r="F60" s="121">
        <v>2.6800000000000001E-2</v>
      </c>
      <c r="G60" s="121">
        <v>1.44E-2</v>
      </c>
      <c r="H60" s="121">
        <v>1.95E-2</v>
      </c>
      <c r="I60" s="121">
        <v>5.7999999999999996E-3</v>
      </c>
      <c r="J60" s="121">
        <v>0</v>
      </c>
      <c r="K60" s="121">
        <v>2.0999999999999999E-3</v>
      </c>
      <c r="L60" s="121">
        <v>2.5000000000000001E-3</v>
      </c>
      <c r="M60" s="121">
        <v>3.44E-2</v>
      </c>
      <c r="N60" s="122">
        <v>2.5999999999999999E-2</v>
      </c>
    </row>
    <row r="61" spans="2:14" ht="18" customHeight="1">
      <c r="B61" s="135" t="s">
        <v>97</v>
      </c>
      <c r="C61" s="123">
        <v>0.11210000000000001</v>
      </c>
      <c r="D61" s="123">
        <v>6.5799999999999997E-2</v>
      </c>
      <c r="E61" s="123">
        <v>2.46E-2</v>
      </c>
      <c r="F61" s="123">
        <v>6.3E-3</v>
      </c>
      <c r="G61" s="123">
        <v>9.1999999999999998E-3</v>
      </c>
      <c r="H61" s="123">
        <v>3.2000000000000002E-3</v>
      </c>
      <c r="I61" s="123">
        <v>1.5E-3</v>
      </c>
      <c r="J61" s="123">
        <v>6.1000000000000004E-3</v>
      </c>
      <c r="K61" s="123">
        <v>0.1143</v>
      </c>
      <c r="L61" s="123">
        <v>0.36409999999999998</v>
      </c>
      <c r="M61" s="123">
        <v>0.27139999999999997</v>
      </c>
      <c r="N61" s="124">
        <v>0.21809999999999999</v>
      </c>
    </row>
    <row r="62" spans="2:14" ht="18" customHeight="1">
      <c r="B62" s="136" t="s">
        <v>93</v>
      </c>
      <c r="C62" s="127">
        <v>3.4200000000000001E-2</v>
      </c>
      <c r="D62" s="127">
        <v>3.85E-2</v>
      </c>
      <c r="E62" s="127">
        <v>4.4900000000000002E-2</v>
      </c>
      <c r="F62" s="127">
        <v>6.8699999999999997E-2</v>
      </c>
      <c r="G62" s="127">
        <v>0.1065</v>
      </c>
      <c r="H62" s="127">
        <v>0.1515</v>
      </c>
      <c r="I62" s="127">
        <v>0.13389999999999999</v>
      </c>
      <c r="J62" s="127">
        <v>4.7899999999999998E-2</v>
      </c>
      <c r="K62" s="127">
        <v>9.1000000000000004E-3</v>
      </c>
      <c r="L62" s="127">
        <v>9.7999999999999997E-3</v>
      </c>
      <c r="M62" s="127">
        <v>1.21E-2</v>
      </c>
      <c r="N62" s="128">
        <v>2.2200000000000001E-2</v>
      </c>
    </row>
    <row r="63" spans="2:14" ht="18" customHeight="1">
      <c r="B63" s="136"/>
      <c r="C63" s="120"/>
      <c r="D63" s="120"/>
      <c r="E63" s="120"/>
      <c r="F63" s="120"/>
      <c r="G63" s="120"/>
      <c r="H63" s="120"/>
      <c r="I63" s="120"/>
      <c r="J63" s="120"/>
      <c r="K63" s="120"/>
      <c r="L63" s="120"/>
      <c r="M63" s="120"/>
      <c r="N63" s="120"/>
    </row>
  </sheetData>
  <phoneticPr fontId="5" type="noConversion"/>
  <conditionalFormatting sqref="C56:N63">
    <cfRule type="colorScale" priority="41">
      <colorScale>
        <cfvo type="min"/>
        <cfvo type="percentile" val="50"/>
        <cfvo type="max"/>
        <color rgb="FFC6EFCE"/>
        <color rgb="FFFFEB9C"/>
        <color rgb="FFFFC7CE"/>
      </colorScale>
    </cfRule>
  </conditionalFormatting>
  <conditionalFormatting sqref="C28:N30">
    <cfRule type="cellIs" dxfId="30" priority="3" operator="lessThan">
      <formula>0.8</formula>
    </cfRule>
  </conditionalFormatting>
  <conditionalFormatting sqref="C28:N30">
    <cfRule type="cellIs" dxfId="29" priority="2" operator="greaterThan">
      <formula>0.9</formula>
    </cfRule>
  </conditionalFormatting>
  <conditionalFormatting sqref="C28:N30">
    <cfRule type="cellIs" dxfId="28" priority="1" operator="between">
      <formula>0.8</formula>
      <formula>0.9</formula>
    </cfRule>
  </conditionalFormatting>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D64C8-BC54-49D7-9795-586FAB85B13B}">
  <dimension ref="A1"/>
  <sheetViews>
    <sheetView workbookViewId="0">
      <selection activeCell="L16" sqref="L16"/>
    </sheetView>
  </sheetViews>
  <sheetFormatPr defaultRowHeight="14.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20F3C-53D6-4F0D-B6CC-909A48D9DCA2}">
  <dimension ref="C5:I36"/>
  <sheetViews>
    <sheetView topLeftCell="C10" workbookViewId="0">
      <selection activeCell="H14" sqref="H14"/>
    </sheetView>
  </sheetViews>
  <sheetFormatPr defaultRowHeight="14.45"/>
  <cols>
    <col min="3" max="3" width="28.7109375" customWidth="1"/>
    <col min="4" max="4" width="26.85546875" customWidth="1"/>
    <col min="5" max="5" width="38.140625" customWidth="1"/>
    <col min="6" max="6" width="24.85546875" customWidth="1"/>
    <col min="7" max="7" width="31.140625" customWidth="1"/>
    <col min="8" max="8" width="18.28515625" customWidth="1"/>
    <col min="9" max="9" width="51.5703125" customWidth="1"/>
  </cols>
  <sheetData>
    <row r="5" spans="3:9" ht="23.45">
      <c r="C5" s="2" t="s">
        <v>143</v>
      </c>
    </row>
    <row r="6" spans="3:9" ht="31.9" customHeight="1"/>
    <row r="7" spans="3:9" ht="28.15" customHeight="1">
      <c r="C7" s="14" t="s">
        <v>144</v>
      </c>
      <c r="D7" s="14" t="s">
        <v>145</v>
      </c>
      <c r="E7" s="14" t="s">
        <v>146</v>
      </c>
      <c r="F7" s="14" t="s">
        <v>147</v>
      </c>
      <c r="G7" s="14" t="s">
        <v>148</v>
      </c>
      <c r="H7" s="14" t="s">
        <v>149</v>
      </c>
      <c r="I7" s="14" t="s">
        <v>150</v>
      </c>
    </row>
    <row r="8" spans="3:9" ht="96" customHeight="1">
      <c r="C8" s="13" t="s">
        <v>109</v>
      </c>
      <c r="D8" s="13" t="s">
        <v>151</v>
      </c>
      <c r="E8" s="13" t="s">
        <v>152</v>
      </c>
      <c r="F8" s="13" t="s">
        <v>153</v>
      </c>
      <c r="G8" s="13" t="s">
        <v>154</v>
      </c>
      <c r="H8" s="13" t="s">
        <v>155</v>
      </c>
      <c r="I8" s="13" t="s">
        <v>156</v>
      </c>
    </row>
    <row r="9" spans="3:9" ht="80.45" customHeight="1">
      <c r="C9" s="13" t="s">
        <v>157</v>
      </c>
      <c r="D9" s="13" t="s">
        <v>158</v>
      </c>
      <c r="E9" s="13" t="s">
        <v>159</v>
      </c>
      <c r="F9" s="13" t="s">
        <v>153</v>
      </c>
      <c r="G9" s="13" t="s">
        <v>160</v>
      </c>
      <c r="H9" s="13" t="s">
        <v>155</v>
      </c>
      <c r="I9" s="13" t="s">
        <v>161</v>
      </c>
    </row>
    <row r="10" spans="3:9" ht="90" customHeight="1">
      <c r="C10" s="13" t="s">
        <v>162</v>
      </c>
      <c r="D10" s="13" t="s">
        <v>158</v>
      </c>
      <c r="E10" s="13" t="s">
        <v>163</v>
      </c>
      <c r="F10" s="13" t="s">
        <v>153</v>
      </c>
      <c r="G10" s="13" t="s">
        <v>164</v>
      </c>
      <c r="H10" s="13" t="s">
        <v>155</v>
      </c>
      <c r="I10" s="13" t="s">
        <v>165</v>
      </c>
    </row>
    <row r="11" spans="3:9" ht="142.5" customHeight="1">
      <c r="C11" s="13" t="s">
        <v>166</v>
      </c>
      <c r="D11" s="13" t="s">
        <v>167</v>
      </c>
      <c r="E11" s="13" t="s">
        <v>168</v>
      </c>
      <c r="F11" s="13" t="s">
        <v>169</v>
      </c>
      <c r="G11" s="13" t="s">
        <v>170</v>
      </c>
      <c r="H11" s="13" t="s">
        <v>171</v>
      </c>
      <c r="I11" s="13" t="s">
        <v>172</v>
      </c>
    </row>
    <row r="12" spans="3:9" ht="104.25" customHeight="1">
      <c r="C12" s="142" t="s">
        <v>111</v>
      </c>
      <c r="D12" s="13" t="s">
        <v>173</v>
      </c>
      <c r="E12" s="13" t="s">
        <v>174</v>
      </c>
      <c r="F12" s="142" t="s">
        <v>153</v>
      </c>
      <c r="G12" s="13" t="s">
        <v>175</v>
      </c>
      <c r="H12" s="142" t="s">
        <v>176</v>
      </c>
      <c r="I12" s="13" t="s">
        <v>177</v>
      </c>
    </row>
    <row r="13" spans="3:9" ht="86.25" customHeight="1">
      <c r="C13" s="142" t="s">
        <v>178</v>
      </c>
      <c r="D13" s="13" t="s">
        <v>179</v>
      </c>
      <c r="E13" s="13" t="s">
        <v>180</v>
      </c>
      <c r="F13" s="142" t="s">
        <v>181</v>
      </c>
      <c r="G13" s="13" t="s">
        <v>182</v>
      </c>
      <c r="H13" s="142" t="s">
        <v>183</v>
      </c>
      <c r="I13" s="13" t="s">
        <v>184</v>
      </c>
    </row>
    <row r="23" spans="3:8" ht="45.75" customHeight="1">
      <c r="C23" s="140" t="s">
        <v>185</v>
      </c>
    </row>
    <row r="26" spans="3:8" ht="48" customHeight="1">
      <c r="C26" s="139" t="s">
        <v>186</v>
      </c>
      <c r="D26" s="139" t="s">
        <v>187</v>
      </c>
      <c r="E26" s="139" t="s">
        <v>188</v>
      </c>
      <c r="F26" s="139" t="s">
        <v>189</v>
      </c>
      <c r="G26" s="139" t="s">
        <v>190</v>
      </c>
    </row>
    <row r="27" spans="3:8" ht="96" customHeight="1">
      <c r="C27" s="13" t="s">
        <v>191</v>
      </c>
      <c r="D27" s="13" t="s">
        <v>192</v>
      </c>
      <c r="E27" s="13" t="s">
        <v>193</v>
      </c>
      <c r="F27" s="13" t="s">
        <v>194</v>
      </c>
      <c r="G27" s="13" t="s">
        <v>195</v>
      </c>
      <c r="H27" s="13"/>
    </row>
    <row r="28" spans="3:8" ht="96" customHeight="1">
      <c r="C28" s="13" t="s">
        <v>196</v>
      </c>
      <c r="D28" s="13" t="s">
        <v>197</v>
      </c>
      <c r="E28" s="13" t="s">
        <v>198</v>
      </c>
      <c r="F28" s="13" t="s">
        <v>194</v>
      </c>
      <c r="G28" s="13" t="s">
        <v>199</v>
      </c>
      <c r="H28" s="13"/>
    </row>
    <row r="29" spans="3:8" ht="96" customHeight="1">
      <c r="C29" s="13" t="s">
        <v>200</v>
      </c>
      <c r="D29" s="13" t="s">
        <v>201</v>
      </c>
      <c r="E29" s="13" t="s">
        <v>202</v>
      </c>
      <c r="F29" s="13" t="s">
        <v>194</v>
      </c>
      <c r="G29" s="13" t="s">
        <v>203</v>
      </c>
      <c r="H29" s="13"/>
    </row>
    <row r="30" spans="3:8" ht="96" customHeight="1">
      <c r="C30" s="13" t="s">
        <v>204</v>
      </c>
      <c r="D30" s="13" t="s">
        <v>205</v>
      </c>
      <c r="E30" s="13" t="s">
        <v>206</v>
      </c>
      <c r="F30" s="13" t="s">
        <v>207</v>
      </c>
      <c r="G30" s="13" t="s">
        <v>208</v>
      </c>
      <c r="H30" s="13"/>
    </row>
    <row r="31" spans="3:8" ht="96" customHeight="1">
      <c r="C31" s="13" t="s">
        <v>209</v>
      </c>
      <c r="D31" s="13" t="s">
        <v>210</v>
      </c>
      <c r="E31" s="13" t="s">
        <v>211</v>
      </c>
      <c r="F31" s="13" t="s">
        <v>212</v>
      </c>
      <c r="G31" s="13" t="s">
        <v>213</v>
      </c>
      <c r="H31" s="13"/>
    </row>
    <row r="32" spans="3:8" ht="96" customHeight="1">
      <c r="C32" s="13" t="s">
        <v>214</v>
      </c>
      <c r="D32" s="13" t="s">
        <v>215</v>
      </c>
      <c r="E32" s="13" t="s">
        <v>216</v>
      </c>
      <c r="F32" s="13" t="s">
        <v>217</v>
      </c>
      <c r="G32" s="13" t="s">
        <v>218</v>
      </c>
      <c r="H32" s="13"/>
    </row>
    <row r="33" spans="3:8" ht="96" customHeight="1">
      <c r="C33" s="13" t="s">
        <v>219</v>
      </c>
      <c r="D33" s="13" t="s">
        <v>220</v>
      </c>
      <c r="E33" s="13" t="s">
        <v>221</v>
      </c>
      <c r="F33" s="13" t="s">
        <v>222</v>
      </c>
      <c r="G33" s="13" t="s">
        <v>223</v>
      </c>
      <c r="H33" s="13"/>
    </row>
    <row r="34" spans="3:8" ht="96" customHeight="1">
      <c r="C34" s="13" t="s">
        <v>224</v>
      </c>
      <c r="D34" s="13" t="s">
        <v>225</v>
      </c>
      <c r="E34" s="13" t="s">
        <v>226</v>
      </c>
      <c r="F34" s="13" t="s">
        <v>194</v>
      </c>
      <c r="G34" s="13" t="s">
        <v>227</v>
      </c>
      <c r="H34" s="13"/>
    </row>
    <row r="35" spans="3:8" ht="96" customHeight="1">
      <c r="C35" s="13" t="s">
        <v>228</v>
      </c>
      <c r="D35" s="13" t="s">
        <v>229</v>
      </c>
      <c r="E35" s="13" t="s">
        <v>230</v>
      </c>
      <c r="F35" s="13" t="s">
        <v>231</v>
      </c>
      <c r="G35" s="13" t="s">
        <v>232</v>
      </c>
      <c r="H35" s="13"/>
    </row>
    <row r="36" spans="3:8" ht="96" customHeight="1">
      <c r="C36" s="13" t="s">
        <v>233</v>
      </c>
      <c r="D36" s="13" t="s">
        <v>234</v>
      </c>
      <c r="E36" s="13" t="s">
        <v>235</v>
      </c>
      <c r="F36" s="141" t="s">
        <v>194</v>
      </c>
      <c r="G36" s="13" t="s">
        <v>236</v>
      </c>
      <c r="H36"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e2714f0-310e-41b1-a9c5-f08d168eb338">
      <Terms xmlns="http://schemas.microsoft.com/office/infopath/2007/PartnerControls"/>
    </lcf76f155ced4ddcb4097134ff3c332f>
    <TaxCatchAll xmlns="5ea853b2-e126-431e-8d92-ac8077f030a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EC9DE4EEBF8884F99908685B9F26E47" ma:contentTypeVersion="10" ma:contentTypeDescription="Create a new document." ma:contentTypeScope="" ma:versionID="a420b28ac64c9e8aca25b81efaafc4e2">
  <xsd:schema xmlns:xsd="http://www.w3.org/2001/XMLSchema" xmlns:xs="http://www.w3.org/2001/XMLSchema" xmlns:p="http://schemas.microsoft.com/office/2006/metadata/properties" xmlns:ns2="7e2714f0-310e-41b1-a9c5-f08d168eb338" xmlns:ns3="5ea853b2-e126-431e-8d92-ac8077f030a9" targetNamespace="http://schemas.microsoft.com/office/2006/metadata/properties" ma:root="true" ma:fieldsID="c1c560636c747555c5525cca713b120c" ns2:_="" ns3:_="">
    <xsd:import namespace="7e2714f0-310e-41b1-a9c5-f08d168eb338"/>
    <xsd:import namespace="5ea853b2-e126-431e-8d92-ac8077f030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2714f0-310e-41b1-a9c5-f08d168eb3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d8eb081-4404-441f-996c-5d17da73a12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ea853b2-e126-431e-8d92-ac8077f030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a83eed-7e60-4fbd-afb3-697dedbf28a4}" ma:internalName="TaxCatchAll" ma:showField="CatchAllData" ma:web="5ea853b2-e126-431e-8d92-ac8077f030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B4E52E-A78B-41C8-9015-BC1728610531}"/>
</file>

<file path=customXml/itemProps2.xml><?xml version="1.0" encoding="utf-8"?>
<ds:datastoreItem xmlns:ds="http://schemas.openxmlformats.org/officeDocument/2006/customXml" ds:itemID="{2DC9C286-ECD1-451A-B6F4-D298F5F89C77}"/>
</file>

<file path=customXml/itemProps3.xml><?xml version="1.0" encoding="utf-8"?>
<ds:datastoreItem xmlns:ds="http://schemas.openxmlformats.org/officeDocument/2006/customXml" ds:itemID="{FA876E72-12AA-4570-AF2F-3AA0B28FBF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Pushkar Mahajan</dc:creator>
  <cp:keywords/>
  <dc:description/>
  <cp:lastModifiedBy>Pushkar Mahajan</cp:lastModifiedBy>
  <cp:revision/>
  <dcterms:created xsi:type="dcterms:W3CDTF">2026-04-27T13:49:44Z</dcterms:created>
  <dcterms:modified xsi:type="dcterms:W3CDTF">2026-05-04T04:26:03Z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0x010100AEC9DE4EEBF8884F99908685B9F26E47</vt:lpwstr>
  </property>
  <property fmtid="{D5CDD505-2E9C-101B-9397-08002B2CF9AE}" pid="3" name="Order">
    <vt:r8>3800</vt:r8>
  </property>
  <property fmtid="{D5CDD505-2E9C-101B-9397-08002B2CF9AE}" pid="4" name="_activity">
    <vt:lpwstr>{"FileActivityType":"9","FileActivityTimeStamp":"2026-04-28T08:56:32.040Z","FileActivityUsersOnPage":[{"DisplayName":"Pushkar Mahajan","Id":"pushkar.m@ideabrix.in"},{"DisplayName":"Priyadarshini Rachakonda","Id":"priyadarshini.r@ideabrix.in"}],"FileActivityNavigationId":null}</vt:lpwstr>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